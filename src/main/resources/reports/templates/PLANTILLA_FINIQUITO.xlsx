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>
    <mc:Choice Requires="x15">
      <x15ac:absPath xmlns:x15ac="http://schemas.microsoft.com/office/spreadsheetml/2010/11/ac" url="D:\proyecto\backend\src\main\resources\reports\templates\"/>
    </mc:Choice>
  </mc:AlternateContent>
  <xr:revisionPtr revIDLastSave="0" documentId="13_ncr:1_{DD070629-00A3-44C8-9A00-8A0F7D4E762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ISCAL" sheetId="4" r:id="rId1"/>
    <sheet name="INTERNO" sheetId="3" r:id="rId2"/>
  </sheets>
  <definedNames>
    <definedName name="_xlnm.Print_Area" localSheetId="0">FISCAL!$B$1:$AV$110</definedName>
    <definedName name="_xlnm.Print_Area" localSheetId="1">INTERNO!$B$1:$AV$110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P27" i="4" l="1"/>
  <c r="AP33" i="4" s="1"/>
  <c r="AP35" i="4" s="1"/>
  <c r="Z40" i="4"/>
  <c r="G67" i="4"/>
  <c r="R69" i="4"/>
  <c r="R68" i="4"/>
  <c r="AO55" i="4"/>
  <c r="AH33" i="4"/>
  <c r="Z33" i="4"/>
  <c r="R33" i="4"/>
  <c r="AP30" i="4"/>
  <c r="BE26" i="4"/>
  <c r="BE27" i="4" s="1"/>
  <c r="BE28" i="4" s="1"/>
  <c r="BE29" i="4" s="1"/>
  <c r="BE30" i="4" s="1"/>
  <c r="BE31" i="4" s="1"/>
  <c r="BE32" i="4" s="1"/>
  <c r="BE33" i="4" s="1"/>
  <c r="BE34" i="4" s="1"/>
  <c r="BE35" i="4" s="1"/>
  <c r="BE25" i="4"/>
  <c r="BE23" i="4"/>
  <c r="BB23" i="4"/>
  <c r="BB24" i="4" s="1"/>
  <c r="W22" i="4" s="1"/>
  <c r="Z38" i="4" s="1"/>
  <c r="AR21" i="4" l="1"/>
  <c r="AP40" i="4"/>
  <c r="AP41" i="4"/>
  <c r="BB25" i="4"/>
  <c r="AP44" i="4"/>
  <c r="AP38" i="4"/>
  <c r="AP43" i="4" l="1"/>
  <c r="AE22" i="4"/>
  <c r="Z39" i="4" s="1"/>
  <c r="AP39" i="4" s="1"/>
  <c r="BB26" i="4"/>
  <c r="AP49" i="4" l="1"/>
  <c r="AP57" i="4" s="1"/>
  <c r="T69" i="4" s="1"/>
  <c r="AP30" i="3"/>
  <c r="R68" i="3" l="1"/>
  <c r="BB23" i="3" l="1"/>
  <c r="BB24" i="3" l="1"/>
  <c r="BB25" i="3" s="1"/>
  <c r="G67" i="3"/>
  <c r="AE22" i="3" l="1"/>
  <c r="Z39" i="3" s="1"/>
  <c r="W22" i="3"/>
  <c r="Z38" i="3" s="1"/>
  <c r="BE23" i="3"/>
  <c r="BE25" i="3"/>
  <c r="BE26" i="3" s="1"/>
  <c r="BE27" i="3" s="1"/>
  <c r="BE28" i="3" s="1"/>
  <c r="BE29" i="3" s="1"/>
  <c r="BE30" i="3" s="1"/>
  <c r="BE31" i="3" s="1"/>
  <c r="BE32" i="3" s="1"/>
  <c r="BE33" i="3" s="1"/>
  <c r="BE34" i="3" s="1"/>
  <c r="BE35" i="3" s="1"/>
  <c r="AP27" i="3"/>
  <c r="R69" i="3"/>
  <c r="AH33" i="3"/>
  <c r="Z33" i="3"/>
  <c r="R33" i="3"/>
  <c r="AO55" i="3"/>
  <c r="BB26" i="3" l="1"/>
  <c r="AP33" i="3"/>
  <c r="AP35" i="3" s="1"/>
  <c r="AR21" i="3" s="1"/>
  <c r="Z40" i="3" l="1"/>
  <c r="AP40" i="3" s="1"/>
  <c r="AP38" i="3"/>
  <c r="AP44" i="3"/>
  <c r="AP41" i="3"/>
  <c r="AP43" i="3"/>
  <c r="AP39" i="3"/>
  <c r="AP49" i="3" l="1"/>
  <c r="AP57" i="3" s="1"/>
  <c r="T69" i="3" s="1"/>
</calcChain>
</file>

<file path=xl/sharedStrings.xml><?xml version="1.0" encoding="utf-8"?>
<sst xmlns="http://schemas.openxmlformats.org/spreadsheetml/2006/main" count="323" uniqueCount="81">
  <si>
    <t>MESES</t>
  </si>
  <si>
    <t>DE</t>
  </si>
  <si>
    <t>AÑOS</t>
  </si>
  <si>
    <t>DIAS</t>
  </si>
  <si>
    <t>Bs</t>
  </si>
  <si>
    <t>TOTALES</t>
  </si>
  <si>
    <t>I.- DATOS GENERALES</t>
  </si>
  <si>
    <t>RAZÓN SOCIAL O NOMBRE DE LA EMPRESA</t>
  </si>
  <si>
    <t>RAMA DE ACTIVIDAD ECONÓMICA</t>
  </si>
  <si>
    <t>DOMICILIO</t>
  </si>
  <si>
    <t>NOMBRE DEL TRABAJADOR</t>
  </si>
  <si>
    <t>ESTADO CIVIL</t>
  </si>
  <si>
    <t>EDAD</t>
  </si>
  <si>
    <t>PROFESION U OCUPACIÓN</t>
  </si>
  <si>
    <t>CI</t>
  </si>
  <si>
    <t>FECHA DE INGRESO</t>
  </si>
  <si>
    <t>MOTIVO DEL RETIRO</t>
  </si>
  <si>
    <t>REMUNERACION MENSUAL Bs.</t>
  </si>
  <si>
    <t>TIEMPO DE SERVICIO</t>
  </si>
  <si>
    <t>II.- LIQUIDACIÓN DE LA REMUNERACIÓN PROMEDIO INDEMNIZABLE EN BASE A LOS 3 ÚLTIMOS MESES</t>
  </si>
  <si>
    <r>
      <t>A)</t>
    </r>
    <r>
      <rPr>
        <sz val="10"/>
        <rFont val="Times New Roman"/>
        <family val="1"/>
      </rPr>
      <t xml:space="preserve"> MESES</t>
    </r>
  </si>
  <si>
    <t>REMUNERACIÓN MENSUAL</t>
  </si>
  <si>
    <r>
      <t xml:space="preserve">B) </t>
    </r>
    <r>
      <rPr>
        <sz val="10"/>
        <rFont val="Times New Roman"/>
        <family val="1"/>
      </rPr>
      <t xml:space="preserve">OTROS CONCEPTOS                   </t>
    </r>
  </si>
  <si>
    <t xml:space="preserve">  </t>
  </si>
  <si>
    <t>TOTAL</t>
  </si>
  <si>
    <t>III .- TOTAL REMUNERACIÓN PROMEDIO INDEMNIZABLE (A + B) DIVIDIDO ENTRE 3:</t>
  </si>
  <si>
    <t>C) DESAHUCIO  TRES MESES (EN CASO DE RETIRO FORZOSO)</t>
  </si>
  <si>
    <t>Bs.</t>
  </si>
  <si>
    <t>D) INDEMNIZACIÓN POR TIEMPO DE TRABAJO:</t>
  </si>
  <si>
    <t>MESES Y</t>
  </si>
  <si>
    <t>OTROS</t>
  </si>
  <si>
    <t>GESTION</t>
  </si>
  <si>
    <t>IV .- TOTAL BENEFICIOS SOCIALES: C + D</t>
  </si>
  <si>
    <r>
      <t>E)</t>
    </r>
    <r>
      <rPr>
        <sz val="10"/>
        <rFont val="Times New Roman"/>
        <family val="1"/>
      </rPr>
      <t xml:space="preserve"> DEDUCCIONES:</t>
    </r>
  </si>
  <si>
    <t>TOTAL Bs.</t>
  </si>
  <si>
    <r>
      <t>V.</t>
    </r>
    <r>
      <rPr>
        <sz val="10"/>
        <rFont val="Times New Roman"/>
        <family val="1"/>
      </rPr>
      <t xml:space="preserve"> IMPORTE LÍQUIDO A PAGAR C + D - E =           </t>
    </r>
  </si>
  <si>
    <t>FORMA DE PAGO:</t>
  </si>
  <si>
    <t>EFECTIVO</t>
  </si>
  <si>
    <t>(</t>
  </si>
  <si>
    <t>X</t>
  </si>
  <si>
    <t>)</t>
  </si>
  <si>
    <t>CHEQUE</t>
  </si>
  <si>
    <t>Nº</t>
  </si>
  <si>
    <t>C/BANCO</t>
  </si>
  <si>
    <t>IMPORTE DE LA SUMA CANCELADA:</t>
  </si>
  <si>
    <t>YO</t>
  </si>
  <si>
    <t>MAYOR DE EDAD, CON C.I. Nº</t>
  </si>
  <si>
    <t>DECLARO QUE EN LA FECHA RECIBO A MI ENTERA</t>
  </si>
  <si>
    <t>SATISFACCIÓN, EL IMPORTE DE</t>
  </si>
  <si>
    <t>POR CONCEPTO DE LA LIQUIDACIÓN DE MIS BENE-</t>
  </si>
  <si>
    <t>FICIOS SOCIALES, DE CONFORMIDAD CON LA LEY GENERAL DEL TRABAJO, SU DECRETO REGLAMENTARIO Y</t>
  </si>
  <si>
    <t>DISPOSICIONES CONEXAS.</t>
  </si>
  <si>
    <t>LUGAR Y FECHA</t>
  </si>
  <si>
    <t>E</t>
  </si>
  <si>
    <t>L</t>
  </si>
  <si>
    <t>A</t>
  </si>
  <si>
    <t>T</t>
  </si>
  <si>
    <t>O</t>
  </si>
  <si>
    <t>D</t>
  </si>
  <si>
    <t>I</t>
  </si>
  <si>
    <t>N</t>
  </si>
  <si>
    <t>R</t>
  </si>
  <si>
    <t>S</t>
  </si>
  <si>
    <t>G</t>
  </si>
  <si>
    <t xml:space="preserve">Vo </t>
  </si>
  <si>
    <t>Bo</t>
  </si>
  <si>
    <t>MINISTERIO DE TRABAJO</t>
  </si>
  <si>
    <t>ULTIMO DIA LABORAL</t>
  </si>
  <si>
    <t>PERCIBIDOS EN EL MES</t>
  </si>
  <si>
    <t xml:space="preserve">AGUINALDO DE NAVIDAD 
</t>
  </si>
  <si>
    <t>LA PAZ</t>
  </si>
  <si>
    <t>meses</t>
  </si>
  <si>
    <t>años</t>
  </si>
  <si>
    <t>dias</t>
  </si>
  <si>
    <t>total dias</t>
  </si>
  <si>
    <t>VACACION</t>
  </si>
  <si>
    <t xml:space="preserve">BONO DE ANTIGÜEDAD </t>
  </si>
  <si>
    <t xml:space="preserve"> RETIRO VOLUNTARIO</t>
  </si>
  <si>
    <t>INTERNO</t>
  </si>
  <si>
    <t xml:space="preserve">NOVECIENTOS CINCUENTA Y CINCO 50/100 BOLIVIANOS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</si>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</sst>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€_-;\-* #,##0.00\ _€_-;_-* &quot;-&quot;??\ _€_-;_-@_-"/>
    <numFmt numFmtId="165" formatCode="_-* #,##0.00\ _$_-;\-* #,##0.00\ _$_-;_-* &quot;-&quot;??\ _$_-;_-@_-"/>
    <numFmt numFmtId="166" formatCode="dd/mm"/>
    <numFmt numFmtId="167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b/>
      <sz val="8.5"/>
      <name val="Times New Roman"/>
      <family val="1"/>
    </font>
    <font>
      <b/>
      <sz val="8"/>
      <name val="Times New Roman"/>
      <family val="1"/>
    </font>
    <font>
      <u/>
      <sz val="12.65"/>
      <color theme="10"/>
      <name val="Calibri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2.65"/>
      <color theme="10"/>
      <name val="Times New Roman"/>
      <family val="1"/>
    </font>
    <font>
      <sz val="10"/>
      <color indexed="8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3" tint="0.39997558519241921"/>
      <name val="Times New Roman"/>
      <family val="1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7" fillId="0" borderId="0" applyNumberFormat="0" applyFill="0" applyBorder="0" applyAlignment="0" applyProtection="0">
      <alignment vertical="top"/>
      <protection locked="0"/>
    </xf>
    <xf numFmtId="43" fontId="14" fillId="0" borderId="0" applyFont="0" applyFill="0" applyBorder="0" applyAlignment="0" applyProtection="0"/>
  </cellStyleXfs>
  <cellXfs count="173">
    <xf numFmtId="0" fontId="0" fillId="0" borderId="0" xfId="0"/>
    <xf numFmtId="0" fontId="2" fillId="0" borderId="1" xfId="0" applyFont="1" applyFill="1" applyBorder="1" applyAlignment="1">
      <alignment vertical="center"/>
    </xf>
    <xf numFmtId="0" fontId="3" fillId="0" borderId="16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0" xfId="0" applyFont="1" applyFill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12" xfId="0" applyFont="1" applyFill="1" applyBorder="1" applyAlignment="1">
      <alignment vertical="center"/>
    </xf>
    <xf numFmtId="0" fontId="9" fillId="0" borderId="13" xfId="0" applyFont="1" applyFill="1" applyBorder="1" applyAlignment="1">
      <alignment vertical="center"/>
    </xf>
    <xf numFmtId="0" fontId="9" fillId="0" borderId="14" xfId="0" applyFont="1" applyFill="1" applyBorder="1" applyAlignment="1">
      <alignment vertical="center"/>
    </xf>
    <xf numFmtId="0" fontId="9" fillId="0" borderId="15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16" xfId="0" applyFont="1" applyFill="1" applyBorder="1" applyAlignment="1">
      <alignment vertical="center"/>
    </xf>
    <xf numFmtId="0" fontId="9" fillId="0" borderId="18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9" fillId="0" borderId="19" xfId="0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11" fillId="0" borderId="0" xfId="4" applyFont="1" applyFill="1" applyAlignment="1" applyProtection="1">
      <alignment vertical="center"/>
    </xf>
    <xf numFmtId="166" fontId="10" fillId="0" borderId="0" xfId="0" applyNumberFormat="1" applyFont="1" applyFill="1" applyAlignment="1">
      <alignment vertical="center"/>
    </xf>
    <xf numFmtId="0" fontId="9" fillId="0" borderId="20" xfId="0" applyFont="1" applyFill="1" applyBorder="1" applyAlignment="1">
      <alignment vertical="center"/>
    </xf>
    <xf numFmtId="0" fontId="9" fillId="0" borderId="2" xfId="0" applyFont="1" applyFill="1" applyBorder="1" applyAlignment="1">
      <alignment vertical="center"/>
    </xf>
    <xf numFmtId="0" fontId="9" fillId="0" borderId="21" xfId="0" applyFont="1" applyFill="1" applyBorder="1" applyAlignment="1">
      <alignment vertical="center"/>
    </xf>
    <xf numFmtId="165" fontId="9" fillId="0" borderId="0" xfId="0" applyNumberFormat="1" applyFont="1" applyFill="1" applyAlignment="1">
      <alignment vertical="center"/>
    </xf>
    <xf numFmtId="0" fontId="9" fillId="0" borderId="4" xfId="0" applyFont="1" applyFill="1" applyBorder="1" applyAlignment="1">
      <alignment vertical="center"/>
    </xf>
    <xf numFmtId="0" fontId="9" fillId="0" borderId="3" xfId="0" applyFont="1" applyFill="1" applyBorder="1" applyAlignment="1">
      <alignment vertical="center"/>
    </xf>
    <xf numFmtId="0" fontId="9" fillId="0" borderId="24" xfId="0" applyFont="1" applyFill="1" applyBorder="1" applyAlignment="1">
      <alignment vertical="center"/>
    </xf>
    <xf numFmtId="0" fontId="2" fillId="0" borderId="24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vertical="center"/>
    </xf>
    <xf numFmtId="0" fontId="9" fillId="0" borderId="0" xfId="0" applyNumberFormat="1" applyFont="1" applyFill="1" applyAlignment="1">
      <alignment vertical="center"/>
    </xf>
    <xf numFmtId="43" fontId="9" fillId="0" borderId="0" xfId="5" applyFont="1" applyFill="1" applyAlignment="1">
      <alignment vertical="center"/>
    </xf>
    <xf numFmtId="43" fontId="9" fillId="0" borderId="0" xfId="0" applyNumberFormat="1" applyFont="1" applyFill="1" applyAlignment="1">
      <alignment vertical="center"/>
    </xf>
    <xf numFmtId="0" fontId="15" fillId="0" borderId="0" xfId="0" applyNumberFormat="1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6" fillId="0" borderId="14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right" vertical="center"/>
    </xf>
    <xf numFmtId="0" fontId="16" fillId="0" borderId="24" xfId="0" applyFont="1" applyFill="1" applyBorder="1" applyAlignment="1">
      <alignment vertical="center"/>
    </xf>
    <xf numFmtId="0" fontId="16" fillId="0" borderId="16" xfId="0" applyFont="1" applyFill="1" applyBorder="1" applyAlignment="1">
      <alignment vertical="center"/>
    </xf>
    <xf numFmtId="0" fontId="6" fillId="0" borderId="24" xfId="0" applyFont="1" applyFill="1" applyBorder="1" applyAlignment="1">
      <alignment vertical="center"/>
    </xf>
    <xf numFmtId="0" fontId="19" fillId="0" borderId="24" xfId="0" applyFont="1" applyFill="1" applyBorder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" xfId="0" applyFont="1" applyFill="1" applyBorder="1" applyAlignment="1">
      <alignment vertical="center"/>
    </xf>
    <xf numFmtId="0" fontId="16" fillId="0" borderId="19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vertical="center"/>
    </xf>
    <xf numFmtId="0" fontId="9" fillId="0" borderId="27" xfId="0" applyFont="1" applyFill="1" applyBorder="1" applyAlignment="1">
      <alignment vertical="center"/>
    </xf>
    <xf numFmtId="0" fontId="3" fillId="0" borderId="27" xfId="0" applyFont="1" applyFill="1" applyBorder="1" applyAlignment="1">
      <alignment vertical="center"/>
    </xf>
    <xf numFmtId="0" fontId="9" fillId="0" borderId="28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10" fillId="0" borderId="5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3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vertical="center"/>
    </xf>
    <xf numFmtId="0" fontId="4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3" fillId="0" borderId="8" xfId="0" applyFont="1" applyFill="1" applyBorder="1" applyAlignment="1">
      <alignment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vertical="center"/>
    </xf>
    <xf numFmtId="0" fontId="18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14" fontId="9" fillId="0" borderId="6" xfId="0" applyNumberFormat="1" applyFont="1" applyFill="1" applyBorder="1" applyAlignment="1">
      <alignment horizontal="center" vertical="center"/>
    </xf>
    <xf numFmtId="14" fontId="9" fillId="0" borderId="7" xfId="0" applyNumberFormat="1" applyFont="1" applyFill="1" applyBorder="1" applyAlignment="1">
      <alignment horizontal="center" vertical="center"/>
    </xf>
    <xf numFmtId="14" fontId="9" fillId="0" borderId="8" xfId="0" applyNumberFormat="1" applyFont="1" applyFill="1" applyBorder="1" applyAlignment="1">
      <alignment horizontal="center" vertical="center"/>
    </xf>
    <xf numFmtId="167" fontId="16" fillId="0" borderId="6" xfId="5" applyNumberFormat="1" applyFont="1" applyFill="1" applyBorder="1" applyAlignment="1">
      <alignment horizontal="center" vertical="center"/>
    </xf>
    <xf numFmtId="167" fontId="16" fillId="0" borderId="7" xfId="5" applyNumberFormat="1" applyFont="1" applyFill="1" applyBorder="1" applyAlignment="1">
      <alignment horizontal="center" vertical="center"/>
    </xf>
    <xf numFmtId="167" fontId="16" fillId="0" borderId="8" xfId="5" applyNumberFormat="1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2" fontId="16" fillId="0" borderId="6" xfId="0" applyNumberFormat="1" applyFont="1" applyFill="1" applyBorder="1" applyAlignment="1">
      <alignment horizontal="center" vertical="center"/>
    </xf>
    <xf numFmtId="2" fontId="16" fillId="0" borderId="7" xfId="0" applyNumberFormat="1" applyFont="1" applyFill="1" applyBorder="1" applyAlignment="1">
      <alignment horizontal="center" vertical="center"/>
    </xf>
    <xf numFmtId="2" fontId="16" fillId="0" borderId="8" xfId="0" applyNumberFormat="1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4" fontId="3" fillId="0" borderId="6" xfId="0" applyNumberFormat="1" applyFont="1" applyFill="1" applyBorder="1" applyAlignment="1">
      <alignment vertical="center"/>
    </xf>
    <xf numFmtId="164" fontId="3" fillId="0" borderId="7" xfId="0" applyNumberFormat="1" applyFont="1" applyFill="1" applyBorder="1" applyAlignment="1">
      <alignment vertical="center"/>
    </xf>
    <xf numFmtId="164" fontId="3" fillId="0" borderId="8" xfId="0" applyNumberFormat="1" applyFont="1" applyFill="1" applyBorder="1" applyAlignment="1">
      <alignment vertical="center"/>
    </xf>
    <xf numFmtId="43" fontId="3" fillId="0" borderId="6" xfId="5" applyFont="1" applyFill="1" applyBorder="1" applyAlignment="1">
      <alignment horizontal="center" vertical="center"/>
    </xf>
    <xf numFmtId="43" fontId="3" fillId="0" borderId="7" xfId="5" applyFont="1" applyFill="1" applyBorder="1" applyAlignment="1">
      <alignment horizontal="center" vertical="center"/>
    </xf>
    <xf numFmtId="43" fontId="3" fillId="0" borderId="8" xfId="5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164" fontId="9" fillId="0" borderId="6" xfId="0" applyNumberFormat="1" applyFont="1" applyFill="1" applyBorder="1" applyAlignment="1">
      <alignment vertical="center"/>
    </xf>
    <xf numFmtId="164" fontId="9" fillId="0" borderId="7" xfId="0" applyNumberFormat="1" applyFont="1" applyFill="1" applyBorder="1" applyAlignment="1">
      <alignment vertical="center"/>
    </xf>
    <xf numFmtId="164" fontId="9" fillId="0" borderId="8" xfId="0" applyNumberFormat="1" applyFont="1" applyFill="1" applyBorder="1" applyAlignment="1">
      <alignment vertical="center"/>
    </xf>
    <xf numFmtId="164" fontId="9" fillId="0" borderId="5" xfId="0" applyNumberFormat="1" applyFont="1" applyFill="1" applyBorder="1" applyAlignment="1">
      <alignment vertical="center"/>
    </xf>
    <xf numFmtId="164" fontId="2" fillId="0" borderId="5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164" fontId="2" fillId="0" borderId="22" xfId="0" applyNumberFormat="1" applyFont="1" applyFill="1" applyBorder="1" applyAlignment="1">
      <alignment vertical="center"/>
    </xf>
    <xf numFmtId="0" fontId="9" fillId="0" borderId="5" xfId="0" applyFont="1" applyFill="1" applyBorder="1" applyAlignment="1">
      <alignment horizontal="center" vertical="center"/>
    </xf>
    <xf numFmtId="164" fontId="3" fillId="0" borderId="5" xfId="0" applyNumberFormat="1" applyFont="1" applyFill="1" applyBorder="1" applyAlignment="1">
      <alignment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vertical="center"/>
    </xf>
    <xf numFmtId="0" fontId="9" fillId="0" borderId="7" xfId="0" applyFont="1" applyFill="1" applyBorder="1" applyAlignment="1">
      <alignment vertical="center"/>
    </xf>
    <xf numFmtId="0" fontId="9" fillId="0" borderId="8" xfId="0" applyFont="1" applyFill="1" applyBorder="1" applyAlignment="1">
      <alignment vertical="center"/>
    </xf>
    <xf numFmtId="0" fontId="3" fillId="0" borderId="9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23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left" vertical="center"/>
    </xf>
    <xf numFmtId="0" fontId="3" fillId="0" borderId="25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164" fontId="3" fillId="0" borderId="9" xfId="0" applyNumberFormat="1" applyFont="1" applyFill="1" applyBorder="1" applyAlignment="1">
      <alignment horizontal="center" vertical="center"/>
    </xf>
    <xf numFmtId="164" fontId="3" fillId="0" borderId="10" xfId="0" applyNumberFormat="1" applyFont="1" applyFill="1" applyBorder="1" applyAlignment="1">
      <alignment horizontal="center" vertical="center"/>
    </xf>
    <xf numFmtId="164" fontId="3" fillId="0" borderId="11" xfId="0" applyNumberFormat="1" applyFont="1" applyFill="1" applyBorder="1" applyAlignment="1">
      <alignment horizontal="center" vertical="center"/>
    </xf>
    <xf numFmtId="164" fontId="3" fillId="0" borderId="23" xfId="0" applyNumberFormat="1" applyFont="1" applyFill="1" applyBorder="1" applyAlignment="1">
      <alignment horizontal="center" vertical="center"/>
    </xf>
    <xf numFmtId="164" fontId="3" fillId="0" borderId="24" xfId="0" applyNumberFormat="1" applyFont="1" applyFill="1" applyBorder="1" applyAlignment="1">
      <alignment horizontal="center" vertical="center"/>
    </xf>
    <xf numFmtId="164" fontId="3" fillId="0" borderId="25" xfId="0" applyNumberFormat="1" applyFont="1" applyFill="1" applyBorder="1" applyAlignment="1">
      <alignment horizontal="center" vertical="center"/>
    </xf>
    <xf numFmtId="4" fontId="3" fillId="0" borderId="6" xfId="0" applyNumberFormat="1" applyFont="1" applyFill="1" applyBorder="1" applyAlignment="1">
      <alignment horizontal="right" vertical="center"/>
    </xf>
    <xf numFmtId="4" fontId="3" fillId="0" borderId="7" xfId="0" applyNumberFormat="1" applyFont="1" applyFill="1" applyBorder="1" applyAlignment="1">
      <alignment horizontal="right" vertical="center"/>
    </xf>
    <xf numFmtId="4" fontId="3" fillId="0" borderId="8" xfId="0" applyNumberFormat="1" applyFont="1" applyFill="1" applyBorder="1" applyAlignment="1">
      <alignment horizontal="right" vertical="center"/>
    </xf>
    <xf numFmtId="164" fontId="3" fillId="0" borderId="22" xfId="0" applyNumberFormat="1" applyFont="1" applyFill="1" applyBorder="1" applyAlignment="1">
      <alignment vertical="center"/>
    </xf>
    <xf numFmtId="0" fontId="20" fillId="0" borderId="8" xfId="0" applyFont="1" applyFill="1" applyBorder="1" applyAlignment="1">
      <alignment vertical="center" wrapText="1"/>
    </xf>
    <xf numFmtId="0" fontId="20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2" fontId="8" fillId="0" borderId="5" xfId="0" applyNumberFormat="1" applyFont="1" applyFill="1" applyBorder="1" applyAlignment="1">
      <alignment vertical="center"/>
    </xf>
    <xf numFmtId="164" fontId="2" fillId="0" borderId="24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vertical="center"/>
    </xf>
    <xf numFmtId="164" fontId="2" fillId="0" borderId="27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16" fillId="0" borderId="24" xfId="0" applyFont="1" applyFill="1" applyBorder="1" applyAlignment="1">
      <alignment horizontal="center" vertical="center"/>
    </xf>
  </cellXfs>
  <cellStyles count="6">
    <cellStyle name="Hipervínculo" xfId="4" builtinId="8"/>
    <cellStyle name="Millares" xfId="5" builtinId="3"/>
    <cellStyle name="Millares 2" xfId="1" xr:uid="{00000000-0005-0000-0000-000002000000}"/>
    <cellStyle name="Normal" xfId="0" builtinId="0"/>
    <cellStyle name="Normal 2" xfId="2" xr:uid="{00000000-0005-0000-0000-000004000000}"/>
    <cellStyle name="Normal 3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28575</xdr:rowOff>
    </xdr:from>
    <xdr:to>
      <xdr:col>13</xdr:col>
      <xdr:colOff>57150</xdr:colOff>
      <xdr:row>6</xdr:row>
      <xdr:rowOff>95250</xdr:rowOff>
    </xdr:to>
    <xdr:pic>
      <xdr:nvPicPr>
        <xdr:cNvPr id="2" name="Picture 1" descr="Escudo de Bolivi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28575"/>
          <a:ext cx="130492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76200</xdr:colOff>
      <xdr:row>3</xdr:row>
      <xdr:rowOff>38100</xdr:rowOff>
    </xdr:from>
    <xdr:to>
      <xdr:col>33</xdr:col>
      <xdr:colOff>104775</xdr:colOff>
      <xdr:row>6</xdr:row>
      <xdr:rowOff>9525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2390775" y="428625"/>
          <a:ext cx="2200275" cy="6096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t" upright="1"/>
        <a:lstStyle/>
        <a:p>
          <a:pPr algn="l" rtl="1">
            <a:defRPr sz="1000"/>
          </a:pPr>
          <a:r>
            <a:rPr lang="es-BO" sz="3000" b="0" i="0" strike="noStrike">
              <a:solidFill>
                <a:srgbClr val="000000"/>
              </a:solidFill>
              <a:latin typeface="Times New Roman"/>
              <a:cs typeface="Times New Roman"/>
            </a:rPr>
            <a:t>FINIQUITO</a:t>
          </a:r>
        </a:p>
        <a:p>
          <a:pPr algn="l" rtl="1">
            <a:defRPr sz="1000"/>
          </a:pPr>
          <a:endParaRPr lang="es-BO" sz="30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7</xdr:col>
      <xdr:colOff>54034</xdr:colOff>
      <xdr:row>91</xdr:row>
      <xdr:rowOff>214952</xdr:rowOff>
    </xdr:from>
    <xdr:to>
      <xdr:col>44</xdr:col>
      <xdr:colOff>12704</xdr:colOff>
      <xdr:row>108</xdr:row>
      <xdr:rowOff>152448</xdr:rowOff>
    </xdr:to>
    <xdr:sp macro="" textlink="">
      <xdr:nvSpPr>
        <xdr:cNvPr id="4" name="Text Box 1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796984" y="18979202"/>
          <a:ext cx="5435545" cy="366177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                                                                  </a:t>
          </a: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                                                 </a:t>
          </a:r>
          <a:r>
            <a:rPr lang="es-BO" sz="1000" b="1" i="0" strike="noStrike">
              <a:solidFill>
                <a:srgbClr val="000000"/>
              </a:solidFill>
              <a:latin typeface="Arial"/>
              <a:cs typeface="Arial"/>
            </a:rPr>
            <a:t>      </a:t>
          </a:r>
          <a:r>
            <a:rPr lang="es-BO" sz="1200" b="1" i="0" strike="noStrike">
              <a:solidFill>
                <a:srgbClr val="000000"/>
              </a:solidFill>
              <a:latin typeface="Arial"/>
              <a:cs typeface="Arial"/>
            </a:rPr>
            <a:t>INSTRUCCIONES</a:t>
          </a:r>
        </a:p>
        <a:p>
          <a:pPr algn="l" rtl="1">
            <a:defRPr sz="1000"/>
          </a:pPr>
          <a:endParaRPr lang="es-BO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BO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1. En todos los casos en los cuales proceda el pago de beneficios sociales  y  que no</a:t>
          </a: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 estén comprendidos en el despido por las causales en el Art. 16 de la Ley General</a:t>
          </a: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del Trabajo y el Art. 9 de su Reglamento, el Finiquito de contrato se suscribirá  en el </a:t>
          </a: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 presente FORMULARIO</a:t>
          </a:r>
        </a:p>
        <a:p>
          <a:pPr algn="l" rtl="1">
            <a:defRPr sz="1000"/>
          </a:pPr>
          <a:endParaRPr lang="es-BO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2.   Los señores Directores, Jefes Departamentales e Inspectores Regionales, son los   </a:t>
          </a: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  únicos funcionarios facultados para revisar y refrendar todo finiquito  de  contrato </a:t>
          </a: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  de trabajo, con cuya intervención alcanzará  la  correspondiente  eficacia  jurídica,   </a:t>
          </a: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  en aplicación del Art. 22 de la Ley General del Trabajo.</a:t>
          </a:r>
        </a:p>
        <a:p>
          <a:pPr algn="l" rtl="1">
            <a:defRPr sz="1000"/>
          </a:pPr>
          <a:endParaRPr lang="es-BO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  La  intervención  de  cualquier  otro  funcionario  del  Ministerio  de  Trabajo  y </a:t>
          </a: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 Microempresa carecerá de toda validez legal.</a:t>
          </a:r>
        </a:p>
        <a:p>
          <a:pPr algn="l" rtl="1">
            <a:defRPr sz="1000"/>
          </a:pPr>
          <a:endParaRPr lang="es-BO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3.  Las  partes  intervinientes  en  la  suscripción  del  presente  FINIQUITO,  deberán </a:t>
          </a: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 acreditar su identidad personal con los documentos señalados por ley.</a:t>
          </a:r>
        </a:p>
        <a:p>
          <a:pPr algn="l" rtl="1">
            <a:defRPr sz="1000"/>
          </a:pPr>
          <a:endParaRPr lang="es-BO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4.  Este  Formulario  no  constituye  Ley  entre  partes por su carácter esencialmente </a:t>
          </a: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 revisable,  por  lo tanto  las  cifras  en  él contenidas no causan estado ni revisten</a:t>
          </a: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 el sello de cosa juzgada.</a:t>
          </a:r>
        </a:p>
        <a:p>
          <a:pPr algn="l" rtl="1">
            <a:defRPr sz="1000"/>
          </a:pPr>
          <a:endParaRPr lang="es-BO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36</xdr:col>
      <xdr:colOff>28575</xdr:colOff>
      <xdr:row>1</xdr:row>
      <xdr:rowOff>190500</xdr:rowOff>
    </xdr:from>
    <xdr:to>
      <xdr:col>43</xdr:col>
      <xdr:colOff>38100</xdr:colOff>
      <xdr:row>6</xdr:row>
      <xdr:rowOff>123825</xdr:rowOff>
    </xdr:to>
    <xdr:pic>
      <xdr:nvPicPr>
        <xdr:cNvPr id="5" name="17 Imagen" descr="LogoMTEP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180975"/>
          <a:ext cx="11715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47620</xdr:colOff>
      <xdr:row>6</xdr:row>
      <xdr:rowOff>161927</xdr:rowOff>
    </xdr:from>
    <xdr:to>
      <xdr:col>46</xdr:col>
      <xdr:colOff>85720</xdr:colOff>
      <xdr:row>10</xdr:row>
      <xdr:rowOff>122464</xdr:rowOff>
    </xdr:to>
    <xdr:sp macro="" textlink="">
      <xdr:nvSpPr>
        <xdr:cNvPr id="6" name="Text Box 5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533895" y="1190627"/>
          <a:ext cx="2057400" cy="398687"/>
        </a:xfrm>
        <a:prstGeom prst="rect">
          <a:avLst/>
        </a:prstGeom>
        <a:noFill/>
        <a:ln>
          <a:noFill/>
        </a:ln>
      </xdr:spPr>
      <xdr:txBody>
        <a:bodyPr vertOverflow="clip" wrap="square" lIns="0" tIns="0" rIns="0" bIns="0" anchor="t" upright="1"/>
        <a:lstStyle/>
        <a:p>
          <a:pPr algn="l" rtl="0">
            <a:lnSpc>
              <a:spcPts val="1000"/>
            </a:lnSpc>
            <a:defRPr sz="1000"/>
          </a:pPr>
          <a:r>
            <a:rPr lang="es-BO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 MINISTERIO DE TRABAJO, EMPLEO Y PREVISIÓN SOCIAL</a:t>
          </a:r>
        </a:p>
        <a:p>
          <a:pPr algn="l" rtl="0">
            <a:lnSpc>
              <a:spcPts val="900"/>
            </a:lnSpc>
            <a:defRPr sz="1000"/>
          </a:pPr>
          <a:endParaRPr lang="es-BO" sz="10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</xdr:col>
      <xdr:colOff>103413</xdr:colOff>
      <xdr:row>6</xdr:row>
      <xdr:rowOff>121105</xdr:rowOff>
    </xdr:from>
    <xdr:to>
      <xdr:col>15</xdr:col>
      <xdr:colOff>40824</xdr:colOff>
      <xdr:row>8</xdr:row>
      <xdr:rowOff>0</xdr:rowOff>
    </xdr:to>
    <xdr:sp macro="" textlink="">
      <xdr:nvSpPr>
        <xdr:cNvPr id="7" name="Text Box 5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170088" y="1149805"/>
          <a:ext cx="1756686" cy="317045"/>
        </a:xfrm>
        <a:prstGeom prst="rect">
          <a:avLst/>
        </a:prstGeom>
        <a:noFill/>
        <a:ln>
          <a:noFill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s-BO" sz="105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ESTADO PLURINACIONAL</a:t>
          </a:r>
        </a:p>
        <a:p>
          <a:pPr algn="l" rtl="0">
            <a:defRPr sz="1000"/>
          </a:pPr>
          <a:r>
            <a:rPr lang="es-BO" sz="105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             DE BOLIVIA</a:t>
          </a:r>
        </a:p>
        <a:p>
          <a:pPr algn="l" rtl="0">
            <a:defRPr sz="1000"/>
          </a:pPr>
          <a:endParaRPr lang="es-BO" sz="11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28575</xdr:rowOff>
    </xdr:from>
    <xdr:to>
      <xdr:col>13</xdr:col>
      <xdr:colOff>57150</xdr:colOff>
      <xdr:row>6</xdr:row>
      <xdr:rowOff>95250</xdr:rowOff>
    </xdr:to>
    <xdr:pic>
      <xdr:nvPicPr>
        <xdr:cNvPr id="4778" name="Picture 1" descr="Escudo de Bolivia">
          <a:extLst>
            <a:ext uri="{FF2B5EF4-FFF2-40B4-BE49-F238E27FC236}">
              <a16:creationId xmlns:a16="http://schemas.microsoft.com/office/drawing/2014/main" id="{00000000-0008-0000-0100-0000A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8575"/>
          <a:ext cx="13049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76200</xdr:colOff>
      <xdr:row>3</xdr:row>
      <xdr:rowOff>38100</xdr:rowOff>
    </xdr:from>
    <xdr:to>
      <xdr:col>33</xdr:col>
      <xdr:colOff>104775</xdr:colOff>
      <xdr:row>6</xdr:row>
      <xdr:rowOff>9525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2466975" y="476250"/>
          <a:ext cx="2200275" cy="628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t" upright="1"/>
        <a:lstStyle/>
        <a:p>
          <a:pPr algn="l" rtl="1">
            <a:defRPr sz="1000"/>
          </a:pPr>
          <a:r>
            <a:rPr lang="es-BO" sz="3000" b="0" i="0" strike="noStrike">
              <a:solidFill>
                <a:srgbClr val="000000"/>
              </a:solidFill>
              <a:latin typeface="Times New Roman"/>
              <a:cs typeface="Times New Roman"/>
            </a:rPr>
            <a:t>FINIQUITO</a:t>
          </a:r>
        </a:p>
        <a:p>
          <a:pPr algn="l" rtl="1">
            <a:defRPr sz="1000"/>
          </a:pPr>
          <a:endParaRPr lang="es-BO" sz="30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7</xdr:col>
      <xdr:colOff>54034</xdr:colOff>
      <xdr:row>91</xdr:row>
      <xdr:rowOff>214952</xdr:rowOff>
    </xdr:from>
    <xdr:to>
      <xdr:col>44</xdr:col>
      <xdr:colOff>12704</xdr:colOff>
      <xdr:row>108</xdr:row>
      <xdr:rowOff>152448</xdr:rowOff>
    </xdr:to>
    <xdr:sp macro="" textlink="">
      <xdr:nvSpPr>
        <xdr:cNvPr id="12" name="Text Box 1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939859" y="19036352"/>
          <a:ext cx="5435545" cy="366177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                                                                  </a:t>
          </a: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                                                 </a:t>
          </a:r>
          <a:r>
            <a:rPr lang="es-BO" sz="1000" b="1" i="0" strike="noStrike">
              <a:solidFill>
                <a:srgbClr val="000000"/>
              </a:solidFill>
              <a:latin typeface="Arial"/>
              <a:cs typeface="Arial"/>
            </a:rPr>
            <a:t>      </a:t>
          </a:r>
          <a:r>
            <a:rPr lang="es-BO" sz="1200" b="1" i="0" strike="noStrike">
              <a:solidFill>
                <a:srgbClr val="000000"/>
              </a:solidFill>
              <a:latin typeface="Arial"/>
              <a:cs typeface="Arial"/>
            </a:rPr>
            <a:t>INSTRUCCIONES</a:t>
          </a:r>
        </a:p>
        <a:p>
          <a:pPr algn="l" rtl="1">
            <a:defRPr sz="1000"/>
          </a:pPr>
          <a:endParaRPr lang="es-BO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s-BO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1. En todos los casos en los cuales proceda el pago de beneficios sociales  y  que no</a:t>
          </a: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 estén comprendidos en el despido por las causales en el Art. 16 de la Ley General</a:t>
          </a: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del Trabajo y el Art. 9 de su Reglamento, el Finiquito de contrato se suscribirá  en el </a:t>
          </a: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 presente FORMULARIO</a:t>
          </a:r>
        </a:p>
        <a:p>
          <a:pPr algn="l" rtl="1">
            <a:defRPr sz="1000"/>
          </a:pPr>
          <a:endParaRPr lang="es-BO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2.   Los señores Directores, Jefes Departamentales e Inspectores Regionales, son los   </a:t>
          </a: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  únicos funcionarios facultados para revisar y refrendar todo finiquito  de  contrato </a:t>
          </a: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  de trabajo, con cuya intervención alcanzará  la  correspondiente  eficacia  jurídica,   </a:t>
          </a: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  en aplicación del Art. 22 de la Ley General del Trabajo.</a:t>
          </a:r>
        </a:p>
        <a:p>
          <a:pPr algn="l" rtl="1">
            <a:defRPr sz="1000"/>
          </a:pPr>
          <a:endParaRPr lang="es-BO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  La  intervención  de  cualquier  otro  funcionario  del  Ministerio  de  Trabajo  y </a:t>
          </a: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 Microempresa carecerá de toda validez legal.</a:t>
          </a:r>
        </a:p>
        <a:p>
          <a:pPr algn="l" rtl="1">
            <a:defRPr sz="1000"/>
          </a:pPr>
          <a:endParaRPr lang="es-BO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3.  Las  partes  intervinientes  en  la  suscripción  del  presente  FINIQUITO,  deberán </a:t>
          </a: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 acreditar su identidad personal con los documentos señalados por ley.</a:t>
          </a:r>
        </a:p>
        <a:p>
          <a:pPr algn="l" rtl="1">
            <a:defRPr sz="1000"/>
          </a:pPr>
          <a:endParaRPr lang="es-BO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4.  Este  Formulario  no  constituye  Ley  entre  partes por su carácter esencialmente </a:t>
          </a: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 revisable,  por  lo tanto  las  cifras  en  él contenidas no causan estado ni revisten</a:t>
          </a:r>
        </a:p>
        <a:p>
          <a:pPr algn="l" rtl="1">
            <a:defRPr sz="1000"/>
          </a:pPr>
          <a:r>
            <a:rPr lang="es-BO" sz="1000" b="0" i="0" strike="noStrike">
              <a:solidFill>
                <a:srgbClr val="000000"/>
              </a:solidFill>
              <a:latin typeface="Arial"/>
              <a:cs typeface="Arial"/>
            </a:rPr>
            <a:t>     el sello de cosa juzgada.</a:t>
          </a:r>
        </a:p>
        <a:p>
          <a:pPr algn="l" rtl="1">
            <a:defRPr sz="1000"/>
          </a:pPr>
          <a:endParaRPr lang="es-BO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36</xdr:col>
      <xdr:colOff>28575</xdr:colOff>
      <xdr:row>1</xdr:row>
      <xdr:rowOff>190500</xdr:rowOff>
    </xdr:from>
    <xdr:to>
      <xdr:col>43</xdr:col>
      <xdr:colOff>38100</xdr:colOff>
      <xdr:row>6</xdr:row>
      <xdr:rowOff>123825</xdr:rowOff>
    </xdr:to>
    <xdr:pic>
      <xdr:nvPicPr>
        <xdr:cNvPr id="4790" name="17 Imagen" descr="LogoMTEPS">
          <a:extLst>
            <a:ext uri="{FF2B5EF4-FFF2-40B4-BE49-F238E27FC236}">
              <a16:creationId xmlns:a16="http://schemas.microsoft.com/office/drawing/2014/main" id="{00000000-0008-0000-0100-0000B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9675" y="190500"/>
          <a:ext cx="117157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47620</xdr:colOff>
      <xdr:row>6</xdr:row>
      <xdr:rowOff>161927</xdr:rowOff>
    </xdr:from>
    <xdr:to>
      <xdr:col>46</xdr:col>
      <xdr:colOff>85720</xdr:colOff>
      <xdr:row>10</xdr:row>
      <xdr:rowOff>122464</xdr:rowOff>
    </xdr:to>
    <xdr:sp macro="" textlink="">
      <xdr:nvSpPr>
        <xdr:cNvPr id="16" name="Text Box 5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4610095" y="1257302"/>
          <a:ext cx="1933575" cy="398687"/>
        </a:xfrm>
        <a:prstGeom prst="rect">
          <a:avLst/>
        </a:prstGeom>
        <a:noFill/>
        <a:ln>
          <a:noFill/>
        </a:ln>
      </xdr:spPr>
      <xdr:txBody>
        <a:bodyPr vertOverflow="clip" wrap="square" lIns="0" tIns="0" rIns="0" bIns="0" anchor="t" upright="1"/>
        <a:lstStyle/>
        <a:p>
          <a:pPr algn="l" rtl="0">
            <a:lnSpc>
              <a:spcPts val="1000"/>
            </a:lnSpc>
            <a:defRPr sz="1000"/>
          </a:pPr>
          <a:r>
            <a:rPr lang="es-BO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  MINISTERIO DE TRABAJO, EMPLEO Y PREVISIÓN SOCIAL</a:t>
          </a:r>
        </a:p>
        <a:p>
          <a:pPr algn="l" rtl="0">
            <a:lnSpc>
              <a:spcPts val="900"/>
            </a:lnSpc>
            <a:defRPr sz="1000"/>
          </a:pPr>
          <a:endParaRPr lang="es-BO" sz="10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</xdr:col>
      <xdr:colOff>103413</xdr:colOff>
      <xdr:row>6</xdr:row>
      <xdr:rowOff>121105</xdr:rowOff>
    </xdr:from>
    <xdr:to>
      <xdr:col>15</xdr:col>
      <xdr:colOff>40824</xdr:colOff>
      <xdr:row>8</xdr:row>
      <xdr:rowOff>0</xdr:rowOff>
    </xdr:to>
    <xdr:sp macro="" textlink="">
      <xdr:nvSpPr>
        <xdr:cNvPr id="17" name="Text Box 52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246288" y="1216480"/>
          <a:ext cx="1756686" cy="317045"/>
        </a:xfrm>
        <a:prstGeom prst="rect">
          <a:avLst/>
        </a:prstGeom>
        <a:noFill/>
        <a:ln>
          <a:noFill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s-BO" sz="105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ESTADO PLURINACIONAL</a:t>
          </a:r>
        </a:p>
        <a:p>
          <a:pPr algn="l" rtl="0">
            <a:defRPr sz="1000"/>
          </a:pPr>
          <a:r>
            <a:rPr lang="es-BO" sz="105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             DE BOLIVIA</a:t>
          </a:r>
        </a:p>
        <a:p>
          <a:pPr algn="l" rtl="0">
            <a:defRPr sz="1000"/>
          </a:pPr>
          <a:endParaRPr lang="es-BO" sz="1100" b="1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H110"/>
  <sheetViews>
    <sheetView showGridLines="0" topLeftCell="B59" zoomScale="160" zoomScaleNormal="160" zoomScaleSheetLayoutView="112" zoomScalePageLayoutView="145" workbookViewId="0">
      <selection activeCell="AH67" sqref="AH67"/>
    </sheetView>
  </sheetViews>
  <sheetFormatPr baseColWidth="10" defaultColWidth="2.140625" defaultRowHeight="17.25" customHeight="1" x14ac:dyDescent="0.25"/>
  <cols>
    <col min="1" max="1" customWidth="true" hidden="true" style="14" width="0.0"/>
    <col min="2" max="2" customWidth="true" style="14" width="1.42578125"/>
    <col min="3" max="3" customWidth="true" style="14" width="1.140625"/>
    <col min="4" max="19" customWidth="true" style="14" width="2.140625"/>
    <col min="20" max="20" customWidth="true" style="14" width="2.7109375"/>
    <col min="21" max="22" customWidth="true" style="14" width="2.140625"/>
    <col min="23" max="23" customWidth="true" style="14" width="1.5703125"/>
    <col min="24" max="24" customWidth="true" style="14" width="2.140625"/>
    <col min="25" max="25" customWidth="true" style="14" width="2.5703125"/>
    <col min="26" max="38" customWidth="true" style="14" width="2.140625"/>
    <col min="39" max="39" customWidth="true" style="14" width="2.7109375"/>
    <col min="40" max="40" customWidth="true" style="14" width="2.140625"/>
    <col min="41" max="41" customWidth="true" style="14" width="3.0"/>
    <col min="42" max="42" customWidth="true" style="14" width="2.140625"/>
    <col min="43" max="43" customWidth="true" style="14" width="3.140625"/>
    <col min="44" max="46" customWidth="true" style="14" width="2.140625"/>
    <col min="47" max="47" customWidth="true" style="14" width="2.5703125"/>
    <col min="48" max="48" customWidth="true" style="14" width="1.7109375"/>
    <col min="49" max="51" style="14" width="2.140625"/>
    <col min="52" max="53" customWidth="true" style="14" width="2.140625"/>
    <col min="54" max="54" customWidth="true" hidden="true" style="14" width="13.28515625"/>
    <col min="55" max="55" customWidth="true" hidden="true" style="14" width="2.140625"/>
    <col min="56" max="56" customWidth="true" hidden="true" style="14" width="11.7109375"/>
    <col min="57" max="58" customWidth="true" hidden="true" style="14" width="10.7109375"/>
    <col min="59" max="59" customWidth="true" style="14" width="10.7109375"/>
    <col min="60" max="60" bestFit="true" customWidth="true" style="14" width="13.28515625"/>
    <col min="61" max="61" customWidth="true" style="14" width="10.7109375"/>
    <col min="62" max="16384" style="14" width="2.140625"/>
  </cols>
  <sheetData>
    <row r="1" spans="3:52" ht="17.25" hidden="1" customHeight="1" x14ac:dyDescent="0.25"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</row>
    <row r="2" spans="3:52" ht="14.25" customHeight="1" x14ac:dyDescent="0.25">
      <c r="C2" s="15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7"/>
    </row>
    <row r="3" spans="3:52" ht="16.5" customHeight="1" x14ac:dyDescent="0.25">
      <c r="C3" s="18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20"/>
    </row>
    <row r="4" spans="3:52" ht="17.25" customHeight="1" x14ac:dyDescent="0.25">
      <c r="C4" s="18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20"/>
    </row>
    <row r="5" spans="3:52" ht="15.75" customHeight="1" x14ac:dyDescent="0.25">
      <c r="C5" s="18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20"/>
    </row>
    <row r="6" spans="3:52" ht="17.25" customHeight="1" x14ac:dyDescent="0.25">
      <c r="C6" s="18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20"/>
    </row>
    <row r="7" spans="3:52" ht="17.25" customHeight="1" x14ac:dyDescent="0.25">
      <c r="C7" s="18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20"/>
    </row>
    <row r="8" spans="3:52" ht="17.25" customHeight="1" x14ac:dyDescent="0.25"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20"/>
    </row>
    <row r="9" spans="3:52" ht="10.5" hidden="1" customHeight="1" x14ac:dyDescent="0.25">
      <c r="C9" s="18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20"/>
    </row>
    <row r="10" spans="3:52" ht="10.5" hidden="1" customHeight="1" x14ac:dyDescent="0.25">
      <c r="C10" s="18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20"/>
    </row>
    <row r="11" spans="3:52" ht="17.25" customHeight="1" thickBot="1" x14ac:dyDescent="0.3">
      <c r="C11" s="21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3"/>
    </row>
    <row r="12" spans="3:52" ht="17.25" customHeight="1" thickTop="1" thickBot="1" x14ac:dyDescent="0.3">
      <c r="C12" s="21"/>
      <c r="D12" s="1" t="s">
        <v>6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3"/>
    </row>
    <row r="13" spans="3:52" ht="17.25" hidden="1" customHeight="1" thickTop="1" x14ac:dyDescent="0.25">
      <c r="C13" s="18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20"/>
      <c r="AZ13" s="19"/>
    </row>
    <row r="14" spans="3:52" ht="9" customHeight="1" thickTop="1" x14ac:dyDescent="0.25">
      <c r="C14" s="18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20"/>
    </row>
    <row r="15" spans="3:52" ht="17.25" customHeight="1" x14ac:dyDescent="0.25">
      <c r="C15" s="18"/>
      <c r="D15" s="65" t="s">
        <v>7</v>
      </c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8">
        <v>1</v>
      </c>
      <c r="AS15" s="68"/>
      <c r="AT15" s="68">
        <v>2</v>
      </c>
      <c r="AU15" s="68"/>
      <c r="AV15" s="20"/>
    </row>
    <row r="16" spans="3:52" ht="17.25" customHeight="1" x14ac:dyDescent="0.25">
      <c r="C16" s="18"/>
      <c r="D16" s="65" t="s">
        <v>8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9" t="s">
        <v>80</v>
      </c>
      <c r="X16" s="69"/>
      <c r="Y16" s="69"/>
      <c r="Z16" s="69"/>
      <c r="AA16" s="70" t="s">
        <v>9</v>
      </c>
      <c r="AB16" s="70"/>
      <c r="AC16" s="70"/>
      <c r="AD16" s="70"/>
      <c r="AE16" s="70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20"/>
    </row>
    <row r="17" spans="3:60" ht="17.25" customHeight="1" x14ac:dyDescent="0.25">
      <c r="C17" s="18"/>
      <c r="D17" s="65" t="s">
        <v>10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71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3"/>
      <c r="AR17" s="68">
        <v>1</v>
      </c>
      <c r="AS17" s="68"/>
      <c r="AT17" s="68">
        <v>2</v>
      </c>
      <c r="AU17" s="68"/>
      <c r="AV17" s="20"/>
    </row>
    <row r="18" spans="3:60" ht="17.25" customHeight="1" x14ac:dyDescent="0.25">
      <c r="C18" s="18"/>
      <c r="D18" s="65" t="s">
        <v>11</v>
      </c>
      <c r="E18" s="65"/>
      <c r="F18" s="65"/>
      <c r="G18" s="65"/>
      <c r="H18" s="65"/>
      <c r="I18" s="65"/>
      <c r="J18" s="65"/>
      <c r="K18" s="65"/>
      <c r="L18" s="65"/>
      <c r="M18" s="74"/>
      <c r="N18" s="75"/>
      <c r="O18" s="75"/>
      <c r="P18" s="75"/>
      <c r="Q18" s="75"/>
      <c r="R18" s="75"/>
      <c r="S18" s="75"/>
      <c r="T18" s="76"/>
      <c r="U18" s="77" t="s">
        <v>12</v>
      </c>
      <c r="V18" s="77"/>
      <c r="W18" s="77"/>
      <c r="X18" s="68"/>
      <c r="Y18" s="68"/>
      <c r="Z18" s="68"/>
      <c r="AA18" s="78" t="s">
        <v>9</v>
      </c>
      <c r="AB18" s="78"/>
      <c r="AC18" s="78"/>
      <c r="AD18" s="78"/>
      <c r="AE18" s="78"/>
      <c r="AF18" s="74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6"/>
      <c r="AV18" s="20"/>
      <c r="BE18" s="24"/>
      <c r="BF18" s="24"/>
      <c r="BG18" s="24"/>
      <c r="BH18" s="24"/>
    </row>
    <row r="19" spans="3:60" ht="17.25" customHeight="1" x14ac:dyDescent="0.25">
      <c r="C19" s="18"/>
      <c r="D19" s="65" t="s">
        <v>13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74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6"/>
      <c r="AR19" s="68">
        <v>1</v>
      </c>
      <c r="AS19" s="68"/>
      <c r="AT19" s="68">
        <v>2</v>
      </c>
      <c r="AU19" s="68"/>
      <c r="AV19" s="2"/>
      <c r="AW19" s="25"/>
      <c r="BD19" s="24"/>
      <c r="BE19" s="26"/>
    </row>
    <row r="20" spans="3:60" ht="17.25" customHeight="1" x14ac:dyDescent="0.25">
      <c r="C20" s="18"/>
      <c r="D20" s="79" t="s">
        <v>14</v>
      </c>
      <c r="E20" s="80"/>
      <c r="F20" s="80"/>
      <c r="G20" s="81"/>
      <c r="H20" s="82"/>
      <c r="I20" s="83"/>
      <c r="J20" s="83"/>
      <c r="K20" s="83"/>
      <c r="L20" s="83"/>
      <c r="M20" s="83"/>
      <c r="N20" s="83"/>
      <c r="O20" s="83"/>
      <c r="P20" s="83"/>
      <c r="Q20" s="84"/>
      <c r="R20" s="85" t="s">
        <v>15</v>
      </c>
      <c r="S20" s="86"/>
      <c r="T20" s="86"/>
      <c r="U20" s="86"/>
      <c r="V20" s="86"/>
      <c r="W20" s="86"/>
      <c r="X20" s="86"/>
      <c r="Y20" s="86"/>
      <c r="Z20" s="87"/>
      <c r="AA20" s="88"/>
      <c r="AB20" s="89"/>
      <c r="AC20" s="89"/>
      <c r="AD20" s="89"/>
      <c r="AE20" s="89"/>
      <c r="AF20" s="90"/>
      <c r="AG20" s="85" t="s">
        <v>67</v>
      </c>
      <c r="AH20" s="86"/>
      <c r="AI20" s="86"/>
      <c r="AJ20" s="86"/>
      <c r="AK20" s="86"/>
      <c r="AL20" s="86"/>
      <c r="AM20" s="86"/>
      <c r="AN20" s="87"/>
      <c r="AO20" s="88"/>
      <c r="AP20" s="89"/>
      <c r="AQ20" s="89"/>
      <c r="AR20" s="89"/>
      <c r="AS20" s="89"/>
      <c r="AT20" s="89"/>
      <c r="AU20" s="90"/>
      <c r="AV20" s="20"/>
      <c r="BB20" s="43"/>
      <c r="BD20" s="27"/>
    </row>
    <row r="21" spans="3:60" ht="17.25" customHeight="1" x14ac:dyDescent="0.25">
      <c r="C21" s="18"/>
      <c r="D21" s="99" t="s">
        <v>16</v>
      </c>
      <c r="E21" s="99"/>
      <c r="F21" s="99"/>
      <c r="G21" s="99"/>
      <c r="H21" s="99"/>
      <c r="I21" s="99"/>
      <c r="J21" s="99"/>
      <c r="K21" s="99"/>
      <c r="L21" s="99"/>
      <c r="M21" s="74" t="s">
        <v>77</v>
      </c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6"/>
      <c r="AE21" s="100" t="s">
        <v>17</v>
      </c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2"/>
      <c r="AR21" s="103">
        <f>AP35</f>
        <v>0</v>
      </c>
      <c r="AS21" s="104"/>
      <c r="AT21" s="104"/>
      <c r="AU21" s="105"/>
      <c r="AV21" s="2"/>
      <c r="AW21" s="25"/>
      <c r="BB21" s="42"/>
      <c r="BF21" s="44"/>
    </row>
    <row r="22" spans="3:60" ht="17.25" customHeight="1" x14ac:dyDescent="0.25">
      <c r="C22" s="18"/>
      <c r="D22" s="95" t="s">
        <v>18</v>
      </c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7"/>
      <c r="R22" s="95" t="s">
        <v>2</v>
      </c>
      <c r="S22" s="96"/>
      <c r="T22" s="96"/>
      <c r="U22" s="96"/>
      <c r="V22" s="97"/>
      <c r="W22" s="106">
        <f>BB24</f>
        <v>0</v>
      </c>
      <c r="X22" s="107"/>
      <c r="Y22" s="107"/>
      <c r="Z22" s="108"/>
      <c r="AA22" s="95" t="s">
        <v>0</v>
      </c>
      <c r="AB22" s="96"/>
      <c r="AC22" s="96"/>
      <c r="AD22" s="97"/>
      <c r="AE22" s="106">
        <f>BB25</f>
        <v>0</v>
      </c>
      <c r="AF22" s="107"/>
      <c r="AG22" s="107"/>
      <c r="AH22" s="107"/>
      <c r="AI22" s="108"/>
      <c r="AJ22" s="95" t="s">
        <v>3</v>
      </c>
      <c r="AK22" s="96"/>
      <c r="AL22" s="97"/>
      <c r="AM22" s="106">
        <f>BB26</f>
      </c>
      <c r="AN22" s="92"/>
      <c r="AO22" s="92"/>
      <c r="AP22" s="92"/>
      <c r="AQ22" s="93"/>
      <c r="AR22" s="94"/>
      <c r="AS22" s="94"/>
      <c r="AT22" s="68"/>
      <c r="AU22" s="68"/>
      <c r="AV22" s="2"/>
      <c r="AW22" s="25"/>
      <c r="BB22" s="45"/>
      <c r="BC22" s="46"/>
      <c r="BD22" s="46"/>
    </row>
    <row r="23" spans="3:60" ht="10.5" customHeight="1" thickBot="1" x14ac:dyDescent="0.3">
      <c r="C23" s="21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3"/>
      <c r="BB23" s="46">
        <f>IF(AO20="","",DAYS360(AA20,AO20)+1)</f>
        <v>0</v>
      </c>
      <c r="BC23" s="46"/>
      <c r="BD23" s="46" t="s">
        <v>74</v>
      </c>
      <c r="BE23" s="14">
        <f t="shared" ref="BE23" si="0">BE22+1</f>
        <v>1</v>
      </c>
    </row>
    <row r="24" spans="3:60" ht="17.25" customHeight="1" thickTop="1" thickBot="1" x14ac:dyDescent="0.3">
      <c r="C24" s="28"/>
      <c r="D24" s="3" t="s">
        <v>19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30"/>
      <c r="BB24" s="46">
        <f>+ROUNDDOWN(BB23/360,0)</f>
        <v>0</v>
      </c>
      <c r="BC24" s="46"/>
      <c r="BD24" s="46" t="s">
        <v>72</v>
      </c>
      <c r="BE24" s="14">
        <v>1</v>
      </c>
    </row>
    <row r="25" spans="3:60" ht="17.25" customHeight="1" thickTop="1" x14ac:dyDescent="0.25">
      <c r="C25" s="18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20"/>
      <c r="BB25" s="46">
        <f>ROUNDDOWN((BB23-(BB24*360))/30,0)</f>
        <v>0</v>
      </c>
      <c r="BC25" s="46"/>
      <c r="BD25" s="46" t="s">
        <v>71</v>
      </c>
      <c r="BE25" s="14">
        <f>BE24+1</f>
        <v>2</v>
      </c>
    </row>
    <row r="26" spans="3:60" ht="17.25" customHeight="1" x14ac:dyDescent="0.25">
      <c r="C26" s="18"/>
      <c r="D26" s="65" t="s">
        <v>20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95"/>
      <c r="Q26" s="96"/>
      <c r="R26" s="96"/>
      <c r="S26" s="96"/>
      <c r="T26" s="96"/>
      <c r="U26" s="96"/>
      <c r="V26" s="96"/>
      <c r="W26" s="97"/>
      <c r="X26" s="95"/>
      <c r="Y26" s="96"/>
      <c r="Z26" s="96"/>
      <c r="AA26" s="96"/>
      <c r="AB26" s="96"/>
      <c r="AC26" s="96"/>
      <c r="AD26" s="96"/>
      <c r="AE26" s="97"/>
      <c r="AF26" s="95"/>
      <c r="AG26" s="96"/>
      <c r="AH26" s="96"/>
      <c r="AI26" s="96"/>
      <c r="AJ26" s="96"/>
      <c r="AK26" s="96"/>
      <c r="AL26" s="96"/>
      <c r="AM26" s="97"/>
      <c r="AN26" s="98" t="s">
        <v>5</v>
      </c>
      <c r="AO26" s="98"/>
      <c r="AP26" s="98"/>
      <c r="AQ26" s="98"/>
      <c r="AR26" s="98"/>
      <c r="AS26" s="98"/>
      <c r="AT26" s="98"/>
      <c r="AU26" s="98"/>
      <c r="AV26" s="20"/>
      <c r="BB26" s="46">
        <f>BB23-(BB24*360+BB25*30)</f>
        <v>0</v>
      </c>
      <c r="BC26" s="46"/>
      <c r="BD26" s="46" t="s">
        <v>73</v>
      </c>
      <c r="BE26" s="14">
        <f t="shared" ref="BE26:BE35" si="1">BE25+1</f>
        <v>3</v>
      </c>
    </row>
    <row r="27" spans="3:60" ht="17.25" customHeight="1" x14ac:dyDescent="0.25">
      <c r="C27" s="18"/>
      <c r="D27" s="67" t="s">
        <v>21</v>
      </c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8" t="s">
        <v>4</v>
      </c>
      <c r="Q27" s="68"/>
      <c r="R27" s="109"/>
      <c r="S27" s="110"/>
      <c r="T27" s="110"/>
      <c r="U27" s="110"/>
      <c r="V27" s="110"/>
      <c r="W27" s="111"/>
      <c r="X27" s="68" t="s">
        <v>4</v>
      </c>
      <c r="Y27" s="68"/>
      <c r="Z27" s="109"/>
      <c r="AA27" s="110"/>
      <c r="AB27" s="110"/>
      <c r="AC27" s="110"/>
      <c r="AD27" s="110"/>
      <c r="AE27" s="111"/>
      <c r="AF27" s="68" t="s">
        <v>4</v>
      </c>
      <c r="AG27" s="68"/>
      <c r="AH27" s="109"/>
      <c r="AI27" s="110"/>
      <c r="AJ27" s="110"/>
      <c r="AK27" s="110"/>
      <c r="AL27" s="110"/>
      <c r="AM27" s="111"/>
      <c r="AN27" s="68" t="s">
        <v>4</v>
      </c>
      <c r="AO27" s="68"/>
      <c r="AP27" s="112">
        <f>SUM(R27+Z27+AH27)</f>
        <v>0</v>
      </c>
      <c r="AQ27" s="113"/>
      <c r="AR27" s="113"/>
      <c r="AS27" s="113"/>
      <c r="AT27" s="113"/>
      <c r="AU27" s="114"/>
      <c r="AV27" s="20"/>
      <c r="BB27" s="46"/>
      <c r="BC27" s="46"/>
      <c r="BD27" s="46"/>
      <c r="BE27" s="14">
        <f t="shared" si="1"/>
        <v>4</v>
      </c>
    </row>
    <row r="28" spans="3:60" ht="17.25" customHeight="1" x14ac:dyDescent="0.25">
      <c r="C28" s="18"/>
      <c r="D28" s="115" t="s">
        <v>22</v>
      </c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8" t="s">
        <v>4</v>
      </c>
      <c r="Q28" s="68"/>
      <c r="R28" s="74"/>
      <c r="S28" s="75"/>
      <c r="T28" s="75"/>
      <c r="U28" s="75"/>
      <c r="V28" s="75"/>
      <c r="W28" s="76"/>
      <c r="X28" s="68" t="s">
        <v>4</v>
      </c>
      <c r="Y28" s="68"/>
      <c r="Z28" s="74"/>
      <c r="AA28" s="75"/>
      <c r="AB28" s="75"/>
      <c r="AC28" s="75"/>
      <c r="AD28" s="75"/>
      <c r="AE28" s="76"/>
      <c r="AF28" s="68" t="s">
        <v>4</v>
      </c>
      <c r="AG28" s="68"/>
      <c r="AH28" s="74"/>
      <c r="AI28" s="75"/>
      <c r="AJ28" s="75"/>
      <c r="AK28" s="75"/>
      <c r="AL28" s="75"/>
      <c r="AM28" s="76"/>
      <c r="AN28" s="68" t="s">
        <v>4</v>
      </c>
      <c r="AO28" s="68"/>
      <c r="AP28" s="74"/>
      <c r="AQ28" s="75"/>
      <c r="AR28" s="75"/>
      <c r="AS28" s="75"/>
      <c r="AT28" s="75"/>
      <c r="AU28" s="76"/>
      <c r="AV28" s="20"/>
      <c r="BB28" s="46"/>
      <c r="BC28" s="46"/>
      <c r="BD28" s="46"/>
      <c r="BE28" s="14">
        <f t="shared" si="1"/>
        <v>5</v>
      </c>
    </row>
    <row r="29" spans="3:60" ht="17.25" customHeight="1" x14ac:dyDescent="0.25">
      <c r="C29" s="18" t="s">
        <v>23</v>
      </c>
      <c r="D29" s="116" t="s">
        <v>68</v>
      </c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8"/>
      <c r="P29" s="68" t="s">
        <v>4</v>
      </c>
      <c r="Q29" s="68"/>
      <c r="R29" s="74"/>
      <c r="S29" s="75"/>
      <c r="T29" s="75"/>
      <c r="U29" s="75"/>
      <c r="V29" s="75"/>
      <c r="W29" s="76"/>
      <c r="X29" s="68" t="s">
        <v>4</v>
      </c>
      <c r="Y29" s="68"/>
      <c r="Z29" s="74"/>
      <c r="AA29" s="75"/>
      <c r="AB29" s="75"/>
      <c r="AC29" s="75"/>
      <c r="AD29" s="75"/>
      <c r="AE29" s="76"/>
      <c r="AF29" s="68" t="s">
        <v>4</v>
      </c>
      <c r="AG29" s="68"/>
      <c r="AH29" s="74"/>
      <c r="AI29" s="75"/>
      <c r="AJ29" s="75"/>
      <c r="AK29" s="75"/>
      <c r="AL29" s="75"/>
      <c r="AM29" s="76"/>
      <c r="AN29" s="68" t="s">
        <v>4</v>
      </c>
      <c r="AO29" s="68"/>
      <c r="AP29" s="74"/>
      <c r="AQ29" s="75"/>
      <c r="AR29" s="75"/>
      <c r="AS29" s="75"/>
      <c r="AT29" s="75"/>
      <c r="AU29" s="76"/>
      <c r="AV29" s="20"/>
      <c r="BE29" s="14">
        <f t="shared" si="1"/>
        <v>6</v>
      </c>
    </row>
    <row r="30" spans="3:60" ht="17.25" customHeight="1" x14ac:dyDescent="0.25">
      <c r="C30" s="18"/>
      <c r="D30" s="69" t="s">
        <v>76</v>
      </c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8" t="s">
        <v>4</v>
      </c>
      <c r="Q30" s="68"/>
      <c r="R30" s="119"/>
      <c r="S30" s="120"/>
      <c r="T30" s="120"/>
      <c r="U30" s="120"/>
      <c r="V30" s="120"/>
      <c r="W30" s="121"/>
      <c r="X30" s="68" t="s">
        <v>4</v>
      </c>
      <c r="Y30" s="68"/>
      <c r="Z30" s="119"/>
      <c r="AA30" s="120"/>
      <c r="AB30" s="120"/>
      <c r="AC30" s="120"/>
      <c r="AD30" s="120"/>
      <c r="AE30" s="121"/>
      <c r="AF30" s="68" t="s">
        <v>4</v>
      </c>
      <c r="AG30" s="68"/>
      <c r="AH30" s="119"/>
      <c r="AI30" s="120"/>
      <c r="AJ30" s="120"/>
      <c r="AK30" s="120"/>
      <c r="AL30" s="120"/>
      <c r="AM30" s="121"/>
      <c r="AN30" s="68" t="s">
        <v>4</v>
      </c>
      <c r="AO30" s="68"/>
      <c r="AP30" s="112">
        <f>SUM(R30+Z30+AH30)</f>
        <v>0</v>
      </c>
      <c r="AQ30" s="113"/>
      <c r="AR30" s="113"/>
      <c r="AS30" s="113"/>
      <c r="AT30" s="113"/>
      <c r="AU30" s="114"/>
      <c r="AV30" s="20"/>
      <c r="BE30" s="14">
        <f t="shared" si="1"/>
        <v>7</v>
      </c>
    </row>
    <row r="31" spans="3:60" ht="17.25" customHeight="1" x14ac:dyDescent="0.25">
      <c r="C31" s="18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8" t="s">
        <v>4</v>
      </c>
      <c r="Q31" s="68"/>
      <c r="R31" s="122"/>
      <c r="S31" s="122"/>
      <c r="T31" s="122"/>
      <c r="U31" s="122"/>
      <c r="V31" s="122"/>
      <c r="W31" s="122"/>
      <c r="X31" s="68" t="s">
        <v>4</v>
      </c>
      <c r="Y31" s="68"/>
      <c r="Z31" s="122"/>
      <c r="AA31" s="122"/>
      <c r="AB31" s="122"/>
      <c r="AC31" s="122"/>
      <c r="AD31" s="122"/>
      <c r="AE31" s="122"/>
      <c r="AF31" s="68" t="s">
        <v>4</v>
      </c>
      <c r="AG31" s="68"/>
      <c r="AH31" s="122"/>
      <c r="AI31" s="122"/>
      <c r="AJ31" s="122"/>
      <c r="AK31" s="122"/>
      <c r="AL31" s="122"/>
      <c r="AM31" s="122"/>
      <c r="AN31" s="68" t="s">
        <v>4</v>
      </c>
      <c r="AO31" s="68"/>
      <c r="AP31" s="122"/>
      <c r="AQ31" s="122"/>
      <c r="AR31" s="122"/>
      <c r="AS31" s="122"/>
      <c r="AT31" s="122"/>
      <c r="AU31" s="122"/>
      <c r="AV31" s="20"/>
      <c r="BE31" s="14">
        <f t="shared" si="1"/>
        <v>8</v>
      </c>
    </row>
    <row r="32" spans="3:60" ht="17.25" customHeight="1" x14ac:dyDescent="0.25">
      <c r="C32" s="18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8" t="s">
        <v>4</v>
      </c>
      <c r="Q32" s="68"/>
      <c r="R32" s="122"/>
      <c r="S32" s="122"/>
      <c r="T32" s="122"/>
      <c r="U32" s="122"/>
      <c r="V32" s="122"/>
      <c r="W32" s="122"/>
      <c r="X32" s="68" t="s">
        <v>4</v>
      </c>
      <c r="Y32" s="68"/>
      <c r="Z32" s="122"/>
      <c r="AA32" s="122"/>
      <c r="AB32" s="122"/>
      <c r="AC32" s="122"/>
      <c r="AD32" s="122"/>
      <c r="AE32" s="122"/>
      <c r="AF32" s="68" t="s">
        <v>4</v>
      </c>
      <c r="AG32" s="68"/>
      <c r="AH32" s="122"/>
      <c r="AI32" s="122"/>
      <c r="AJ32" s="122"/>
      <c r="AK32" s="122"/>
      <c r="AL32" s="122"/>
      <c r="AM32" s="122"/>
      <c r="AN32" s="68" t="s">
        <v>4</v>
      </c>
      <c r="AO32" s="68"/>
      <c r="AP32" s="122"/>
      <c r="AQ32" s="122"/>
      <c r="AR32" s="122"/>
      <c r="AS32" s="122"/>
      <c r="AT32" s="122"/>
      <c r="AU32" s="122"/>
      <c r="AV32" s="20"/>
      <c r="BE32" s="14">
        <f t="shared" si="1"/>
        <v>9</v>
      </c>
    </row>
    <row r="33" spans="3:57" ht="17.25" customHeight="1" x14ac:dyDescent="0.25">
      <c r="C33" s="18"/>
      <c r="D33" s="65" t="s">
        <v>24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8" t="s">
        <v>4</v>
      </c>
      <c r="Q33" s="68"/>
      <c r="R33" s="122">
        <f>SUM(R27:W32)</f>
        <v>0</v>
      </c>
      <c r="S33" s="69"/>
      <c r="T33" s="69"/>
      <c r="U33" s="69"/>
      <c r="V33" s="69"/>
      <c r="W33" s="69"/>
      <c r="X33" s="68" t="s">
        <v>4</v>
      </c>
      <c r="Y33" s="68"/>
      <c r="Z33" s="122">
        <f>SUM(Z27:AE32)</f>
        <v>0</v>
      </c>
      <c r="AA33" s="69"/>
      <c r="AB33" s="69"/>
      <c r="AC33" s="69"/>
      <c r="AD33" s="69"/>
      <c r="AE33" s="69"/>
      <c r="AF33" s="68" t="s">
        <v>4</v>
      </c>
      <c r="AG33" s="68"/>
      <c r="AH33" s="122">
        <f>SUM(AH27:AM32)</f>
        <v>0</v>
      </c>
      <c r="AI33" s="69"/>
      <c r="AJ33" s="69"/>
      <c r="AK33" s="69"/>
      <c r="AL33" s="69"/>
      <c r="AM33" s="69"/>
      <c r="AN33" s="68" t="s">
        <v>4</v>
      </c>
      <c r="AO33" s="68"/>
      <c r="AP33" s="123">
        <f>SUM(AP27:AU32)</f>
        <v>0</v>
      </c>
      <c r="AQ33" s="123"/>
      <c r="AR33" s="123"/>
      <c r="AS33" s="123"/>
      <c r="AT33" s="123"/>
      <c r="AU33" s="123"/>
      <c r="AV33" s="20"/>
      <c r="BE33" s="14">
        <f t="shared" si="1"/>
        <v>10</v>
      </c>
    </row>
    <row r="34" spans="3:57" ht="14.25" customHeight="1" thickBot="1" x14ac:dyDescent="0.3">
      <c r="C34" s="21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3"/>
      <c r="BE34" s="14">
        <f t="shared" si="1"/>
        <v>11</v>
      </c>
    </row>
    <row r="35" spans="3:57" ht="17.25" customHeight="1" thickTop="1" thickBot="1" x14ac:dyDescent="0.3">
      <c r="C35" s="28"/>
      <c r="D35" s="4" t="s">
        <v>25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124" t="s">
        <v>4</v>
      </c>
      <c r="AO35" s="124"/>
      <c r="AP35" s="125">
        <f>AP33/3</f>
        <v>0</v>
      </c>
      <c r="AQ35" s="125"/>
      <c r="AR35" s="125"/>
      <c r="AS35" s="125"/>
      <c r="AT35" s="125"/>
      <c r="AU35" s="125"/>
      <c r="AV35" s="30"/>
      <c r="BE35" s="14">
        <f t="shared" si="1"/>
        <v>12</v>
      </c>
    </row>
    <row r="36" spans="3:57" ht="17.25" customHeight="1" thickTop="1" x14ac:dyDescent="0.25">
      <c r="C36" s="18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20"/>
    </row>
    <row r="37" spans="3:57" ht="17.25" customHeight="1" x14ac:dyDescent="0.25">
      <c r="C37" s="18"/>
      <c r="D37" s="67" t="s">
        <v>26</v>
      </c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126" t="s">
        <v>27</v>
      </c>
      <c r="AO37" s="126"/>
      <c r="AP37" s="127"/>
      <c r="AQ37" s="127"/>
      <c r="AR37" s="127"/>
      <c r="AS37" s="127"/>
      <c r="AT37" s="127"/>
      <c r="AU37" s="127"/>
      <c r="AV37" s="20"/>
    </row>
    <row r="38" spans="3:57" ht="17.25" customHeight="1" x14ac:dyDescent="0.25">
      <c r="C38" s="18"/>
      <c r="D38" s="67" t="s">
        <v>28</v>
      </c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8" t="s">
        <v>1</v>
      </c>
      <c r="Y38" s="68"/>
      <c r="Z38" s="128">
        <f>W22</f>
        <v>0</v>
      </c>
      <c r="AA38" s="117"/>
      <c r="AB38" s="118"/>
      <c r="AC38" s="71" t="s">
        <v>2</v>
      </c>
      <c r="AD38" s="72"/>
      <c r="AE38" s="72"/>
      <c r="AF38" s="72"/>
      <c r="AG38" s="73"/>
      <c r="AH38" s="128" t="s">
        <v>27</v>
      </c>
      <c r="AI38" s="118"/>
      <c r="AJ38" s="129"/>
      <c r="AK38" s="130"/>
      <c r="AL38" s="130"/>
      <c r="AM38" s="131"/>
      <c r="AN38" s="128"/>
      <c r="AO38" s="118"/>
      <c r="AP38" s="109">
        <f>+AP35*Z38</f>
        <v>0</v>
      </c>
      <c r="AQ38" s="110"/>
      <c r="AR38" s="110"/>
      <c r="AS38" s="110"/>
      <c r="AT38" s="110"/>
      <c r="AU38" s="111"/>
      <c r="AV38" s="20"/>
    </row>
    <row r="39" spans="3:57" ht="17.25" customHeight="1" x14ac:dyDescent="0.25">
      <c r="C39" s="18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8" t="s">
        <v>1</v>
      </c>
      <c r="Y39" s="68"/>
      <c r="Z39" s="128">
        <f>+AE22</f>
        <v>0</v>
      </c>
      <c r="AA39" s="117"/>
      <c r="AB39" s="118"/>
      <c r="AC39" s="71" t="s">
        <v>0</v>
      </c>
      <c r="AD39" s="72"/>
      <c r="AE39" s="72"/>
      <c r="AF39" s="72"/>
      <c r="AG39" s="73"/>
      <c r="AH39" s="128" t="s">
        <v>27</v>
      </c>
      <c r="AI39" s="118"/>
      <c r="AJ39" s="129"/>
      <c r="AK39" s="130"/>
      <c r="AL39" s="130"/>
      <c r="AM39" s="131"/>
      <c r="AN39" s="128"/>
      <c r="AO39" s="118"/>
      <c r="AP39" s="109">
        <f>+(AP35/12)*Z39</f>
        <v>0</v>
      </c>
      <c r="AQ39" s="110"/>
      <c r="AR39" s="110"/>
      <c r="AS39" s="110"/>
      <c r="AT39" s="110"/>
      <c r="AU39" s="111"/>
      <c r="AV39" s="20"/>
    </row>
    <row r="40" spans="3:57" ht="17.25" customHeight="1" x14ac:dyDescent="0.25">
      <c r="C40" s="18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8" t="s">
        <v>1</v>
      </c>
      <c r="Y40" s="68"/>
      <c r="Z40" s="128">
        <f>AM22</f>
        <v>0</v>
      </c>
      <c r="AA40" s="117"/>
      <c r="AB40" s="118"/>
      <c r="AC40" s="71" t="s">
        <v>3</v>
      </c>
      <c r="AD40" s="72"/>
      <c r="AE40" s="72"/>
      <c r="AF40" s="72"/>
      <c r="AG40" s="73"/>
      <c r="AH40" s="128" t="s">
        <v>27</v>
      </c>
      <c r="AI40" s="118"/>
      <c r="AJ40" s="129"/>
      <c r="AK40" s="130"/>
      <c r="AL40" s="130"/>
      <c r="AM40" s="131"/>
      <c r="AN40" s="128"/>
      <c r="AO40" s="118"/>
      <c r="AP40" s="109">
        <f>+(AP35/360)*Z40</f>
        <v>0</v>
      </c>
      <c r="AQ40" s="110"/>
      <c r="AR40" s="110"/>
      <c r="AS40" s="110"/>
      <c r="AT40" s="110"/>
      <c r="AU40" s="111"/>
      <c r="AV40" s="20"/>
    </row>
    <row r="41" spans="3:57" ht="17.25" customHeight="1" x14ac:dyDescent="0.25">
      <c r="C41" s="18"/>
      <c r="D41" s="132" t="s">
        <v>69</v>
      </c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4"/>
      <c r="X41" s="138" t="s">
        <v>1</v>
      </c>
      <c r="Y41" s="139"/>
      <c r="Z41" s="142">
        <v>7</v>
      </c>
      <c r="AA41" s="143"/>
      <c r="AB41" s="144"/>
      <c r="AC41" s="138" t="s">
        <v>29</v>
      </c>
      <c r="AD41" s="148"/>
      <c r="AE41" s="148"/>
      <c r="AF41" s="148"/>
      <c r="AG41" s="139"/>
      <c r="AH41" s="142"/>
      <c r="AI41" s="143"/>
      <c r="AJ41" s="144"/>
      <c r="AK41" s="138" t="s">
        <v>3</v>
      </c>
      <c r="AL41" s="148"/>
      <c r="AM41" s="139"/>
      <c r="AN41" s="142" t="s">
        <v>27</v>
      </c>
      <c r="AO41" s="144"/>
      <c r="AP41" s="150">
        <f>((AP35/12)*Z41+AP35/360*AH41)</f>
        <v>0</v>
      </c>
      <c r="AQ41" s="151"/>
      <c r="AR41" s="151"/>
      <c r="AS41" s="151"/>
      <c r="AT41" s="151"/>
      <c r="AU41" s="152"/>
      <c r="AV41" s="20"/>
    </row>
    <row r="42" spans="3:57" ht="17.25" customHeight="1" x14ac:dyDescent="0.25">
      <c r="C42" s="18"/>
      <c r="D42" s="135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7"/>
      <c r="X42" s="140"/>
      <c r="Y42" s="141"/>
      <c r="Z42" s="145"/>
      <c r="AA42" s="146"/>
      <c r="AB42" s="147"/>
      <c r="AC42" s="140"/>
      <c r="AD42" s="149"/>
      <c r="AE42" s="149"/>
      <c r="AF42" s="149"/>
      <c r="AG42" s="141"/>
      <c r="AH42" s="145"/>
      <c r="AI42" s="146"/>
      <c r="AJ42" s="147"/>
      <c r="AK42" s="140"/>
      <c r="AL42" s="149"/>
      <c r="AM42" s="141"/>
      <c r="AN42" s="145"/>
      <c r="AO42" s="147"/>
      <c r="AP42" s="153"/>
      <c r="AQ42" s="154"/>
      <c r="AR42" s="154"/>
      <c r="AS42" s="154"/>
      <c r="AT42" s="154"/>
      <c r="AU42" s="155"/>
      <c r="AV42" s="20"/>
    </row>
    <row r="43" spans="3:57" ht="17.25" customHeight="1" x14ac:dyDescent="0.25">
      <c r="C43" s="18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8" t="s">
        <v>1</v>
      </c>
      <c r="Y43" s="68"/>
      <c r="Z43" s="128"/>
      <c r="AA43" s="117"/>
      <c r="AB43" s="118"/>
      <c r="AC43" s="71" t="s">
        <v>29</v>
      </c>
      <c r="AD43" s="72"/>
      <c r="AE43" s="72"/>
      <c r="AF43" s="72"/>
      <c r="AG43" s="73"/>
      <c r="AH43" s="128"/>
      <c r="AI43" s="117"/>
      <c r="AJ43" s="118"/>
      <c r="AK43" s="74"/>
      <c r="AL43" s="75"/>
      <c r="AM43" s="76"/>
      <c r="AN43" s="128" t="s">
        <v>27</v>
      </c>
      <c r="AO43" s="118"/>
      <c r="AP43" s="109">
        <f>+($AP$35/2/12)*Z43</f>
        <v>0</v>
      </c>
      <c r="AQ43" s="110"/>
      <c r="AR43" s="110"/>
      <c r="AS43" s="110"/>
      <c r="AT43" s="110"/>
      <c r="AU43" s="111"/>
      <c r="AV43" s="20"/>
    </row>
    <row r="44" spans="3:57" ht="17.25" customHeight="1" x14ac:dyDescent="0.25">
      <c r="C44" s="18"/>
      <c r="D44" s="67" t="s">
        <v>75</v>
      </c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8" t="s">
        <v>1</v>
      </c>
      <c r="Y44" s="68"/>
      <c r="Z44" s="128"/>
      <c r="AA44" s="117"/>
      <c r="AB44" s="118"/>
      <c r="AC44" s="71" t="s">
        <v>3</v>
      </c>
      <c r="AD44" s="72"/>
      <c r="AE44" s="72"/>
      <c r="AF44" s="72"/>
      <c r="AG44" s="73"/>
      <c r="AH44" s="128"/>
      <c r="AI44" s="117"/>
      <c r="AJ44" s="118"/>
      <c r="AK44" s="74"/>
      <c r="AL44" s="75"/>
      <c r="AM44" s="76"/>
      <c r="AN44" s="128" t="s">
        <v>27</v>
      </c>
      <c r="AO44" s="118"/>
      <c r="AP44" s="109">
        <f>+AP35/30*Z44</f>
        <v>0</v>
      </c>
      <c r="AQ44" s="110"/>
      <c r="AR44" s="110"/>
      <c r="AS44" s="110"/>
      <c r="AT44" s="110"/>
      <c r="AU44" s="111"/>
      <c r="AV44" s="20"/>
    </row>
    <row r="45" spans="3:57" ht="17.25" customHeight="1" x14ac:dyDescent="0.25">
      <c r="C45" s="18"/>
      <c r="D45" s="67" t="s">
        <v>30</v>
      </c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128" t="s">
        <v>27</v>
      </c>
      <c r="AO45" s="118"/>
      <c r="AP45" s="156"/>
      <c r="AQ45" s="157"/>
      <c r="AR45" s="157"/>
      <c r="AS45" s="157"/>
      <c r="AT45" s="157"/>
      <c r="AU45" s="158"/>
      <c r="AV45" s="20"/>
    </row>
    <row r="46" spans="3:57" ht="17.25" customHeight="1" x14ac:dyDescent="0.25">
      <c r="C46" s="18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128" t="s">
        <v>27</v>
      </c>
      <c r="AO46" s="118"/>
      <c r="AP46" s="109"/>
      <c r="AQ46" s="110"/>
      <c r="AR46" s="110"/>
      <c r="AS46" s="110"/>
      <c r="AT46" s="110"/>
      <c r="AU46" s="111"/>
      <c r="AV46" s="20"/>
    </row>
    <row r="47" spans="3:57" ht="17.25" customHeight="1" x14ac:dyDescent="0.25">
      <c r="C47" s="18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74" t="s">
        <v>31</v>
      </c>
      <c r="R47" s="75"/>
      <c r="S47" s="75"/>
      <c r="T47" s="76"/>
      <c r="U47" s="69"/>
      <c r="V47" s="69"/>
      <c r="W47" s="69"/>
      <c r="X47" s="69"/>
      <c r="Y47" s="69"/>
      <c r="Z47" s="69"/>
      <c r="AA47" s="69"/>
      <c r="AB47" s="69"/>
      <c r="AC47" s="74" t="s">
        <v>1</v>
      </c>
      <c r="AD47" s="76"/>
      <c r="AE47" s="69"/>
      <c r="AF47" s="69"/>
      <c r="AG47" s="69"/>
      <c r="AH47" s="69"/>
      <c r="AI47" s="69"/>
      <c r="AJ47" s="69"/>
      <c r="AK47" s="74" t="s">
        <v>3</v>
      </c>
      <c r="AL47" s="75"/>
      <c r="AM47" s="76"/>
      <c r="AN47" s="128" t="s">
        <v>27</v>
      </c>
      <c r="AO47" s="118"/>
      <c r="AP47" s="127"/>
      <c r="AQ47" s="67"/>
      <c r="AR47" s="67"/>
      <c r="AS47" s="67"/>
      <c r="AT47" s="67"/>
      <c r="AU47" s="67"/>
      <c r="AV47" s="20"/>
    </row>
    <row r="48" spans="3:57" ht="17.25" customHeight="1" thickBot="1" x14ac:dyDescent="0.3">
      <c r="C48" s="21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3"/>
    </row>
    <row r="49" spans="2:56" ht="17.25" customHeight="1" thickTop="1" thickBot="1" x14ac:dyDescent="0.3">
      <c r="C49" s="5" t="s">
        <v>32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4"/>
      <c r="AN49" s="124" t="s">
        <v>27</v>
      </c>
      <c r="AO49" s="124"/>
      <c r="AP49" s="159">
        <f>SUM(AP37:AU47)</f>
        <v>0</v>
      </c>
      <c r="AQ49" s="159"/>
      <c r="AR49" s="159"/>
      <c r="AS49" s="159"/>
      <c r="AT49" s="159"/>
      <c r="AU49" s="159"/>
      <c r="AV49" s="30"/>
    </row>
    <row r="50" spans="2:56" ht="10.5" customHeight="1" thickTop="1" x14ac:dyDescent="0.25">
      <c r="C50" s="18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20"/>
    </row>
    <row r="51" spans="2:56" ht="17.25" customHeight="1" x14ac:dyDescent="0.25">
      <c r="C51" s="18"/>
      <c r="D51" s="98" t="s">
        <v>33</v>
      </c>
      <c r="E51" s="98"/>
      <c r="F51" s="98"/>
      <c r="G51" s="98"/>
      <c r="H51" s="98"/>
      <c r="I51" s="98"/>
      <c r="J51" s="98"/>
      <c r="K51" s="98"/>
      <c r="L51" s="160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26" t="s">
        <v>27</v>
      </c>
      <c r="AB51" s="126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162"/>
      <c r="AP51" s="162"/>
      <c r="AQ51" s="162"/>
      <c r="AR51" s="162"/>
      <c r="AS51" s="162"/>
      <c r="AT51" s="162"/>
      <c r="AU51" s="162"/>
      <c r="AV51" s="20"/>
    </row>
    <row r="52" spans="2:56" ht="17.25" customHeight="1" x14ac:dyDescent="0.25">
      <c r="C52" s="6"/>
      <c r="D52" s="98"/>
      <c r="E52" s="98"/>
      <c r="F52" s="98"/>
      <c r="G52" s="98"/>
      <c r="H52" s="98"/>
      <c r="I52" s="98"/>
      <c r="J52" s="98"/>
      <c r="K52" s="98"/>
      <c r="L52" s="131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126" t="s">
        <v>27</v>
      </c>
      <c r="AB52" s="126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163"/>
      <c r="AP52" s="163"/>
      <c r="AQ52" s="163"/>
      <c r="AR52" s="163"/>
      <c r="AS52" s="163"/>
      <c r="AT52" s="163"/>
      <c r="AU52" s="163"/>
      <c r="AV52" s="20"/>
    </row>
    <row r="53" spans="2:56" ht="17.25" customHeight="1" x14ac:dyDescent="0.25">
      <c r="C53" s="6"/>
      <c r="D53" s="98"/>
      <c r="E53" s="98"/>
      <c r="F53" s="98"/>
      <c r="G53" s="98"/>
      <c r="H53" s="98"/>
      <c r="I53" s="98"/>
      <c r="J53" s="98"/>
      <c r="K53" s="98"/>
      <c r="L53" s="131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126" t="s">
        <v>27</v>
      </c>
      <c r="AB53" s="126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20"/>
    </row>
    <row r="54" spans="2:56" ht="17.25" customHeight="1" x14ac:dyDescent="0.25">
      <c r="C54" s="6"/>
      <c r="D54" s="98"/>
      <c r="E54" s="98"/>
      <c r="F54" s="98"/>
      <c r="G54" s="98"/>
      <c r="H54" s="98"/>
      <c r="I54" s="98"/>
      <c r="J54" s="98"/>
      <c r="K54" s="98"/>
      <c r="L54" s="131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126" t="s">
        <v>27</v>
      </c>
      <c r="AB54" s="126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20"/>
    </row>
    <row r="55" spans="2:56" ht="17.25" customHeight="1" x14ac:dyDescent="0.25">
      <c r="C55" s="6"/>
      <c r="D55" s="98"/>
      <c r="E55" s="98"/>
      <c r="F55" s="98"/>
      <c r="G55" s="98"/>
      <c r="H55" s="98"/>
      <c r="I55" s="98"/>
      <c r="J55" s="98"/>
      <c r="K55" s="98"/>
      <c r="L55" s="131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126" t="s">
        <v>27</v>
      </c>
      <c r="AB55" s="126"/>
      <c r="AC55" s="69"/>
      <c r="AD55" s="69"/>
      <c r="AE55" s="69"/>
      <c r="AF55" s="69"/>
      <c r="AG55" s="69"/>
      <c r="AH55" s="69"/>
      <c r="AI55" s="69"/>
      <c r="AJ55" s="65" t="s">
        <v>34</v>
      </c>
      <c r="AK55" s="65"/>
      <c r="AL55" s="65"/>
      <c r="AM55" s="65"/>
      <c r="AN55" s="65"/>
      <c r="AO55" s="109">
        <f>SUM(AO51:AU54)</f>
        <v>0</v>
      </c>
      <c r="AP55" s="110"/>
      <c r="AQ55" s="110"/>
      <c r="AR55" s="110"/>
      <c r="AS55" s="110"/>
      <c r="AT55" s="110"/>
      <c r="AU55" s="111"/>
      <c r="AV55" s="20"/>
      <c r="BD55" s="31"/>
    </row>
    <row r="56" spans="2:56" ht="12.6" customHeight="1" thickBot="1" x14ac:dyDescent="0.3">
      <c r="C56" s="21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3"/>
    </row>
    <row r="57" spans="2:56" ht="21.75" customHeight="1" thickTop="1" thickBot="1" x14ac:dyDescent="0.3">
      <c r="C57" s="61" t="s">
        <v>35</v>
      </c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167" t="s">
        <v>27</v>
      </c>
      <c r="AO57" s="167"/>
      <c r="AP57" s="168">
        <f>SUM(AP49-AO55)</f>
        <v>0</v>
      </c>
      <c r="AQ57" s="168"/>
      <c r="AR57" s="168"/>
      <c r="AS57" s="168"/>
      <c r="AT57" s="168"/>
      <c r="AU57" s="168"/>
      <c r="AV57" s="64"/>
    </row>
    <row r="58" spans="2:56" ht="21.75" customHeight="1" x14ac:dyDescent="0.25">
      <c r="B58" s="19"/>
      <c r="C58" s="36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9"/>
      <c r="AN58" s="36"/>
      <c r="AO58" s="36"/>
      <c r="AP58" s="60"/>
      <c r="AQ58" s="60"/>
      <c r="AR58" s="60"/>
      <c r="AS58" s="60"/>
      <c r="AT58" s="60"/>
      <c r="AU58" s="60"/>
      <c r="AV58" s="19"/>
      <c r="AW58" s="19"/>
      <c r="AX58" s="19"/>
      <c r="AY58" s="19"/>
    </row>
    <row r="59" spans="2:56" ht="21.75" customHeight="1" x14ac:dyDescent="0.25">
      <c r="B59" s="19"/>
      <c r="C59" s="36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9"/>
      <c r="AN59" s="36"/>
      <c r="AO59" s="36"/>
      <c r="AP59" s="60"/>
      <c r="AQ59" s="60"/>
      <c r="AR59" s="60"/>
      <c r="AS59" s="60"/>
      <c r="AT59" s="60"/>
      <c r="AU59" s="60"/>
      <c r="AV59" s="19"/>
      <c r="AW59" s="19"/>
      <c r="AX59" s="19"/>
      <c r="AY59" s="19"/>
    </row>
    <row r="60" spans="2:56" ht="21.75" customHeight="1" x14ac:dyDescent="0.25">
      <c r="B60" s="19"/>
      <c r="C60" s="36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9"/>
      <c r="AN60" s="36"/>
      <c r="AO60" s="36"/>
      <c r="AP60" s="60"/>
      <c r="AQ60" s="60"/>
      <c r="AR60" s="60"/>
      <c r="AS60" s="60"/>
      <c r="AT60" s="60"/>
      <c r="AU60" s="60"/>
      <c r="AV60" s="19"/>
      <c r="AW60" s="19"/>
      <c r="AX60" s="19"/>
      <c r="AY60" s="19"/>
    </row>
    <row r="61" spans="2:56" ht="11.25" customHeight="1" thickBot="1" x14ac:dyDescent="0.3">
      <c r="B61" s="19"/>
      <c r="C61" s="36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9"/>
      <c r="AN61" s="36"/>
      <c r="AO61" s="36"/>
      <c r="AP61" s="60"/>
      <c r="AQ61" s="60"/>
      <c r="AR61" s="60"/>
      <c r="AS61" s="60"/>
      <c r="AT61" s="60"/>
      <c r="AU61" s="60"/>
      <c r="AV61" s="19"/>
      <c r="AW61" s="19"/>
      <c r="AX61" s="19"/>
      <c r="AY61" s="19"/>
    </row>
    <row r="62" spans="2:56" ht="17.25" customHeight="1" x14ac:dyDescent="0.25">
      <c r="C62" s="15"/>
      <c r="D62" s="16"/>
      <c r="E62" s="16"/>
      <c r="F62" s="16"/>
      <c r="G62" s="16"/>
      <c r="H62" s="16"/>
      <c r="I62" s="16"/>
      <c r="J62" s="16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8"/>
    </row>
    <row r="63" spans="2:56" ht="17.25" customHeight="1" x14ac:dyDescent="0.25">
      <c r="C63" s="18"/>
      <c r="D63" s="7" t="s">
        <v>36</v>
      </c>
      <c r="E63" s="19"/>
      <c r="F63" s="19"/>
      <c r="G63" s="19"/>
      <c r="H63" s="19"/>
      <c r="I63" s="19"/>
      <c r="J63" s="19"/>
      <c r="K63" s="49"/>
      <c r="L63" s="169" t="s">
        <v>37</v>
      </c>
      <c r="M63" s="170"/>
      <c r="N63" s="170"/>
      <c r="O63" s="170"/>
      <c r="P63" s="170"/>
      <c r="Q63" s="170"/>
      <c r="R63" s="170"/>
      <c r="S63" s="49"/>
      <c r="T63" s="49" t="s">
        <v>38</v>
      </c>
      <c r="U63" s="59" t="s">
        <v>39</v>
      </c>
      <c r="V63" s="8" t="s">
        <v>40</v>
      </c>
      <c r="W63" s="171" t="s">
        <v>41</v>
      </c>
      <c r="X63" s="172"/>
      <c r="Y63" s="172"/>
      <c r="Z63" s="172"/>
      <c r="AA63" s="172"/>
      <c r="AB63" s="50" t="s">
        <v>38</v>
      </c>
      <c r="AC63" s="7"/>
      <c r="AD63" s="49" t="s">
        <v>40</v>
      </c>
      <c r="AE63" s="7" t="s">
        <v>42</v>
      </c>
      <c r="AF63" s="51"/>
      <c r="AG63" s="51"/>
      <c r="AH63" s="51"/>
      <c r="AI63" s="51"/>
      <c r="AJ63" s="51"/>
      <c r="AK63" s="51"/>
      <c r="AL63" s="7" t="s">
        <v>43</v>
      </c>
      <c r="AM63" s="49"/>
      <c r="AN63" s="49"/>
      <c r="AO63" s="49"/>
      <c r="AP63" s="172"/>
      <c r="AQ63" s="172"/>
      <c r="AR63" s="172"/>
      <c r="AS63" s="172"/>
      <c r="AT63" s="172"/>
      <c r="AU63" s="49"/>
      <c r="AV63" s="52"/>
    </row>
    <row r="64" spans="2:56" ht="17.25" customHeight="1" x14ac:dyDescent="0.25">
      <c r="C64" s="18"/>
      <c r="D64" s="7" t="s">
        <v>44</v>
      </c>
      <c r="E64" s="19"/>
      <c r="F64" s="19"/>
      <c r="G64" s="19"/>
      <c r="H64" s="19"/>
      <c r="I64" s="19"/>
      <c r="J64" s="19"/>
      <c r="K64" s="49"/>
      <c r="L64" s="49"/>
      <c r="M64" s="49"/>
      <c r="N64" s="49"/>
      <c r="O64" s="49"/>
      <c r="P64" s="49"/>
      <c r="Q64" s="49"/>
      <c r="R64" s="49"/>
      <c r="S64" s="53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49"/>
      <c r="AU64" s="49"/>
      <c r="AV64" s="52"/>
    </row>
    <row r="65" spans="3:48" ht="17.25" customHeight="1" x14ac:dyDescent="0.25">
      <c r="C65" s="18"/>
      <c r="D65" s="19"/>
      <c r="E65" s="19"/>
      <c r="F65" s="19"/>
      <c r="G65" s="19"/>
      <c r="H65" s="19"/>
      <c r="I65" s="19"/>
      <c r="J65" s="1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52"/>
    </row>
    <row r="66" spans="3:48" ht="17.25" customHeight="1" x14ac:dyDescent="0.25">
      <c r="C66" s="18"/>
      <c r="D66" s="19"/>
      <c r="E66" s="19"/>
      <c r="F66" s="19"/>
      <c r="G66" s="19"/>
      <c r="H66" s="19"/>
      <c r="I66" s="19"/>
      <c r="J66" s="1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52"/>
    </row>
    <row r="67" spans="3:48" ht="17.25" customHeight="1" x14ac:dyDescent="0.25">
      <c r="C67" s="18"/>
      <c r="D67" s="7" t="s">
        <v>45</v>
      </c>
      <c r="E67" s="19"/>
      <c r="F67" s="34"/>
      <c r="G67" s="35">
        <f>W17</f>
        <v>0</v>
      </c>
      <c r="H67" s="34"/>
      <c r="I67" s="34"/>
      <c r="J67" s="34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49"/>
      <c r="AU67" s="49"/>
      <c r="AV67" s="52"/>
    </row>
    <row r="68" spans="3:48" ht="17.25" customHeight="1" x14ac:dyDescent="0.25">
      <c r="C68" s="18"/>
      <c r="D68" s="9" t="s">
        <v>46</v>
      </c>
      <c r="E68" s="19"/>
      <c r="F68" s="19"/>
      <c r="G68" s="19"/>
      <c r="H68" s="19"/>
      <c r="I68" s="19"/>
      <c r="J68" s="19"/>
      <c r="K68" s="49"/>
      <c r="L68" s="49"/>
      <c r="M68" s="49"/>
      <c r="N68" s="49"/>
      <c r="O68" s="49"/>
      <c r="P68" s="49"/>
      <c r="Q68" s="49"/>
      <c r="R68" s="96">
        <f>H20</f>
        <v>0</v>
      </c>
      <c r="S68" s="96"/>
      <c r="T68" s="96"/>
      <c r="U68" s="96"/>
      <c r="V68" s="96"/>
      <c r="W68" s="96"/>
      <c r="X68" s="96"/>
      <c r="Y68" s="96"/>
      <c r="Z68" s="49"/>
      <c r="AA68" s="9" t="s">
        <v>47</v>
      </c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52"/>
    </row>
    <row r="69" spans="3:48" ht="17.25" customHeight="1" x14ac:dyDescent="0.25">
      <c r="C69" s="18"/>
      <c r="D69" s="9" t="s">
        <v>48</v>
      </c>
      <c r="E69" s="19"/>
      <c r="F69" s="19"/>
      <c r="G69" s="19"/>
      <c r="H69" s="19"/>
      <c r="I69" s="19"/>
      <c r="J69" s="19"/>
      <c r="K69" s="49"/>
      <c r="L69" s="49"/>
      <c r="M69" s="49"/>
      <c r="N69" s="49"/>
      <c r="O69" s="49"/>
      <c r="P69" s="49"/>
      <c r="Q69" s="49"/>
      <c r="R69" s="36" t="str">
        <f>+AN57</f>
        <v>Bs.</v>
      </c>
      <c r="S69" s="49"/>
      <c r="T69" s="164">
        <f>AP57</f>
        <v>0</v>
      </c>
      <c r="U69" s="164"/>
      <c r="V69" s="164"/>
      <c r="W69" s="164"/>
      <c r="X69" s="164"/>
      <c r="Y69" s="164"/>
      <c r="Z69" s="164"/>
      <c r="AA69" s="9" t="s">
        <v>49</v>
      </c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52"/>
    </row>
    <row r="70" spans="3:48" ht="17.25" customHeight="1" x14ac:dyDescent="0.25">
      <c r="C70" s="18"/>
      <c r="D70" s="9" t="s">
        <v>50</v>
      </c>
      <c r="E70" s="19"/>
      <c r="F70" s="19"/>
      <c r="G70" s="19"/>
      <c r="H70" s="19"/>
      <c r="I70" s="19"/>
      <c r="J70" s="1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52"/>
    </row>
    <row r="71" spans="3:48" ht="17.25" customHeight="1" x14ac:dyDescent="0.25">
      <c r="C71" s="18"/>
      <c r="D71" s="9" t="s">
        <v>51</v>
      </c>
      <c r="E71" s="19"/>
      <c r="F71" s="19"/>
      <c r="G71" s="19"/>
      <c r="H71" s="19"/>
      <c r="I71" s="19"/>
      <c r="J71" s="1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52"/>
    </row>
    <row r="72" spans="3:48" ht="17.25" customHeight="1" x14ac:dyDescent="0.25">
      <c r="C72" s="18"/>
      <c r="D72" s="7"/>
      <c r="E72" s="19"/>
      <c r="F72" s="19"/>
      <c r="G72" s="19"/>
      <c r="H72" s="19"/>
      <c r="I72" s="19"/>
      <c r="J72" s="1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52"/>
    </row>
    <row r="73" spans="3:48" ht="17.25" customHeight="1" x14ac:dyDescent="0.25">
      <c r="C73" s="18"/>
      <c r="D73" s="9" t="s">
        <v>52</v>
      </c>
      <c r="E73" s="19"/>
      <c r="F73" s="19"/>
      <c r="G73" s="19"/>
      <c r="H73" s="19"/>
      <c r="I73" s="19"/>
      <c r="J73" s="19"/>
      <c r="K73" s="49"/>
      <c r="L73" s="49"/>
      <c r="M73" s="165" t="s">
        <v>70</v>
      </c>
      <c r="N73" s="165"/>
      <c r="O73" s="165"/>
      <c r="P73" s="165"/>
      <c r="Q73" s="165"/>
      <c r="R73" s="165"/>
      <c r="S73" s="165"/>
      <c r="T73" s="166"/>
      <c r="U73" s="166"/>
      <c r="V73" s="166"/>
      <c r="W73" s="166"/>
      <c r="X73" s="166"/>
      <c r="Y73" s="49" t="s">
        <v>58</v>
      </c>
      <c r="Z73" s="49" t="s">
        <v>53</v>
      </c>
      <c r="AA73" s="49"/>
      <c r="AB73" s="166"/>
      <c r="AC73" s="166"/>
      <c r="AD73" s="166"/>
      <c r="AE73" s="166"/>
      <c r="AF73" s="166"/>
      <c r="AG73" s="166"/>
      <c r="AH73" s="166"/>
      <c r="AI73" s="166"/>
      <c r="AJ73" s="166"/>
      <c r="AK73" s="166"/>
      <c r="AL73" s="49"/>
      <c r="AM73" s="49" t="s">
        <v>58</v>
      </c>
      <c r="AN73" s="49" t="s">
        <v>53</v>
      </c>
      <c r="AO73" s="49"/>
      <c r="AP73" s="166"/>
      <c r="AQ73" s="166"/>
      <c r="AR73" s="166"/>
      <c r="AS73" s="166"/>
      <c r="AT73" s="166"/>
      <c r="AU73" s="49"/>
      <c r="AV73" s="52"/>
    </row>
    <row r="74" spans="3:48" ht="17.25" customHeight="1" x14ac:dyDescent="0.25">
      <c r="C74" s="18"/>
      <c r="D74" s="7"/>
      <c r="E74" s="19"/>
      <c r="F74" s="19"/>
      <c r="G74" s="19"/>
      <c r="H74" s="19"/>
      <c r="I74" s="19"/>
      <c r="J74" s="1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52"/>
    </row>
    <row r="75" spans="3:48" ht="17.25" customHeight="1" x14ac:dyDescent="0.25">
      <c r="C75" s="18"/>
      <c r="D75" s="7"/>
      <c r="E75" s="19"/>
      <c r="F75" s="19"/>
      <c r="G75" s="19"/>
      <c r="H75" s="19"/>
      <c r="I75" s="19"/>
      <c r="J75" s="1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52"/>
    </row>
    <row r="76" spans="3:48" ht="17.25" customHeight="1" x14ac:dyDescent="0.25">
      <c r="C76" s="18"/>
      <c r="D76" s="7"/>
      <c r="E76" s="19"/>
      <c r="F76" s="19"/>
      <c r="G76" s="19"/>
      <c r="H76" s="19"/>
      <c r="I76" s="19"/>
      <c r="J76" s="1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52"/>
    </row>
    <row r="77" spans="3:48" ht="17.25" customHeight="1" x14ac:dyDescent="0.25">
      <c r="C77" s="18"/>
      <c r="D77" s="7"/>
      <c r="E77" s="19"/>
      <c r="F77" s="19"/>
      <c r="G77" s="19"/>
      <c r="H77" s="19"/>
      <c r="I77" s="19"/>
      <c r="J77" s="1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52"/>
    </row>
    <row r="78" spans="3:48" ht="17.25" customHeight="1" x14ac:dyDescent="0.25">
      <c r="C78" s="18"/>
      <c r="D78" s="7"/>
      <c r="E78" s="19"/>
      <c r="F78" s="19"/>
      <c r="G78" s="19"/>
      <c r="H78" s="19"/>
      <c r="I78" s="19"/>
      <c r="J78" s="1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52"/>
    </row>
    <row r="79" spans="3:48" ht="17.25" customHeight="1" x14ac:dyDescent="0.25">
      <c r="C79" s="18"/>
      <c r="D79" s="9"/>
      <c r="E79" s="19"/>
      <c r="F79" s="19"/>
      <c r="G79" s="19"/>
      <c r="H79" s="19"/>
      <c r="I79" s="19"/>
      <c r="J79" s="1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52"/>
    </row>
    <row r="80" spans="3:48" ht="17.25" customHeight="1" x14ac:dyDescent="0.25">
      <c r="C80" s="18"/>
      <c r="D80" s="9"/>
      <c r="E80" s="19"/>
      <c r="F80" s="19"/>
      <c r="G80" s="19"/>
      <c r="H80" s="19"/>
      <c r="I80" s="13"/>
      <c r="J80" s="12" t="s">
        <v>59</v>
      </c>
      <c r="K80" s="12" t="s">
        <v>60</v>
      </c>
      <c r="L80" s="12" t="s">
        <v>56</v>
      </c>
      <c r="M80" s="12" t="s">
        <v>53</v>
      </c>
      <c r="N80" s="12" t="s">
        <v>61</v>
      </c>
      <c r="O80" s="12" t="s">
        <v>53</v>
      </c>
      <c r="P80" s="12" t="s">
        <v>62</v>
      </c>
      <c r="Q80" s="12" t="s">
        <v>55</v>
      </c>
      <c r="R80" s="12" t="s">
        <v>58</v>
      </c>
      <c r="S80" s="12" t="s">
        <v>57</v>
      </c>
      <c r="T80" s="55"/>
      <c r="U80" s="49"/>
      <c r="V80" s="49"/>
      <c r="W80" s="49"/>
      <c r="X80" s="49"/>
      <c r="Y80" s="49"/>
      <c r="Z80" s="49"/>
      <c r="AA80" s="49"/>
      <c r="AB80" s="49"/>
      <c r="AC80" s="55"/>
      <c r="AD80" s="12" t="s">
        <v>63</v>
      </c>
      <c r="AE80" s="12" t="s">
        <v>53</v>
      </c>
      <c r="AF80" s="12" t="s">
        <v>61</v>
      </c>
      <c r="AG80" s="12" t="s">
        <v>53</v>
      </c>
      <c r="AH80" s="12" t="s">
        <v>60</v>
      </c>
      <c r="AI80" s="12" t="s">
        <v>56</v>
      </c>
      <c r="AJ80" s="12" t="s">
        <v>53</v>
      </c>
      <c r="AK80" s="12"/>
      <c r="AL80" s="12" t="s">
        <v>63</v>
      </c>
      <c r="AM80" s="12" t="s">
        <v>53</v>
      </c>
      <c r="AN80" s="12" t="s">
        <v>60</v>
      </c>
      <c r="AO80" s="12" t="s">
        <v>53</v>
      </c>
      <c r="AP80" s="12" t="s">
        <v>61</v>
      </c>
      <c r="AQ80" s="12" t="s">
        <v>55</v>
      </c>
      <c r="AR80" s="12" t="s">
        <v>54</v>
      </c>
      <c r="AS80" s="49"/>
      <c r="AT80" s="49"/>
      <c r="AU80" s="49"/>
      <c r="AV80" s="52"/>
    </row>
    <row r="81" spans="3:48" ht="17.25" customHeight="1" x14ac:dyDescent="0.25">
      <c r="C81" s="18"/>
      <c r="D81" s="9"/>
      <c r="E81" s="19"/>
      <c r="F81" s="19"/>
      <c r="G81" s="19"/>
      <c r="H81" s="19"/>
      <c r="I81" s="19"/>
      <c r="J81" s="1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52"/>
    </row>
    <row r="82" spans="3:48" ht="17.25" customHeight="1" x14ac:dyDescent="0.25">
      <c r="C82" s="18"/>
      <c r="D82" s="37"/>
      <c r="E82" s="19"/>
      <c r="F82" s="19"/>
      <c r="G82" s="19"/>
      <c r="H82" s="19"/>
      <c r="I82" s="19"/>
      <c r="J82" s="1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52"/>
    </row>
    <row r="83" spans="3:48" ht="17.25" customHeight="1" x14ac:dyDescent="0.25">
      <c r="C83" s="18"/>
      <c r="D83" s="9"/>
      <c r="E83" s="19"/>
      <c r="F83" s="19"/>
      <c r="G83" s="19"/>
      <c r="H83" s="19"/>
      <c r="I83" s="19"/>
      <c r="J83" s="1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52"/>
    </row>
    <row r="84" spans="3:48" ht="17.25" customHeight="1" x14ac:dyDescent="0.25">
      <c r="C84" s="18"/>
      <c r="D84" s="9"/>
      <c r="E84" s="19"/>
      <c r="F84" s="19"/>
      <c r="G84" s="19"/>
      <c r="H84" s="19"/>
      <c r="I84" s="19"/>
      <c r="J84" s="1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52"/>
    </row>
    <row r="85" spans="3:48" ht="17.25" customHeight="1" x14ac:dyDescent="0.25">
      <c r="C85" s="18"/>
      <c r="D85" s="10"/>
      <c r="E85" s="19"/>
      <c r="F85" s="19"/>
      <c r="G85" s="19"/>
      <c r="H85" s="19"/>
      <c r="I85" s="19"/>
      <c r="J85" s="1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52"/>
    </row>
    <row r="86" spans="3:48" ht="17.25" customHeight="1" x14ac:dyDescent="0.25">
      <c r="C86" s="18"/>
      <c r="D86" s="9"/>
      <c r="E86" s="19"/>
      <c r="F86" s="19"/>
      <c r="G86" s="19"/>
      <c r="H86" s="19"/>
      <c r="I86" s="19"/>
      <c r="J86" s="1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52"/>
    </row>
    <row r="87" spans="3:48" ht="17.25" customHeight="1" x14ac:dyDescent="0.25">
      <c r="C87" s="18"/>
      <c r="D87" s="9"/>
      <c r="E87" s="19"/>
      <c r="F87" s="19"/>
      <c r="G87" s="19"/>
      <c r="H87" s="19"/>
      <c r="I87" s="19"/>
      <c r="J87" s="1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52"/>
    </row>
    <row r="88" spans="3:48" ht="17.25" customHeight="1" x14ac:dyDescent="0.25">
      <c r="C88" s="18"/>
      <c r="D88" s="9"/>
      <c r="E88" s="19"/>
      <c r="F88" s="19"/>
      <c r="G88" s="12" t="s">
        <v>64</v>
      </c>
      <c r="H88" s="12"/>
      <c r="I88" s="12" t="s">
        <v>65</v>
      </c>
      <c r="J88" s="12"/>
      <c r="K88" s="12" t="s">
        <v>66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36" t="s">
        <v>62</v>
      </c>
      <c r="AK88" s="36" t="s">
        <v>53</v>
      </c>
      <c r="AL88" s="36" t="s">
        <v>54</v>
      </c>
      <c r="AM88" s="36" t="s">
        <v>54</v>
      </c>
      <c r="AN88" s="36" t="s">
        <v>57</v>
      </c>
      <c r="AO88" s="49"/>
      <c r="AP88" s="49"/>
      <c r="AQ88" s="49"/>
      <c r="AR88" s="49"/>
      <c r="AS88" s="49"/>
      <c r="AT88" s="49"/>
      <c r="AU88" s="49"/>
      <c r="AV88" s="52"/>
    </row>
    <row r="89" spans="3:48" ht="17.25" customHeight="1" x14ac:dyDescent="0.25">
      <c r="C89" s="18"/>
      <c r="D89" s="9"/>
      <c r="E89" s="19"/>
      <c r="F89" s="19"/>
      <c r="G89" s="19"/>
      <c r="H89" s="19"/>
      <c r="I89" s="19"/>
      <c r="J89" s="1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52"/>
    </row>
    <row r="90" spans="3:48" ht="17.25" customHeight="1" x14ac:dyDescent="0.25">
      <c r="C90" s="18"/>
      <c r="D90" s="9"/>
      <c r="E90" s="19"/>
      <c r="F90" s="19"/>
      <c r="G90" s="19"/>
      <c r="H90" s="19"/>
      <c r="I90" s="19"/>
      <c r="J90" s="1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52"/>
    </row>
    <row r="91" spans="3:48" ht="17.25" customHeight="1" thickBot="1" x14ac:dyDescent="0.3">
      <c r="C91" s="21"/>
      <c r="D91" s="11"/>
      <c r="E91" s="22"/>
      <c r="F91" s="22"/>
      <c r="G91" s="22"/>
      <c r="H91" s="22"/>
      <c r="I91" s="22"/>
      <c r="J91" s="22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7"/>
    </row>
    <row r="92" spans="3:48" ht="17.25" customHeight="1" thickTop="1" x14ac:dyDescent="0.25">
      <c r="C92" s="18"/>
      <c r="D92" s="9"/>
      <c r="E92" s="19"/>
      <c r="F92" s="19"/>
      <c r="G92" s="19"/>
      <c r="H92" s="19"/>
      <c r="I92" s="19"/>
      <c r="J92" s="1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52"/>
    </row>
    <row r="93" spans="3:48" ht="17.25" customHeight="1" x14ac:dyDescent="0.25">
      <c r="C93" s="18"/>
      <c r="D93" s="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20"/>
    </row>
    <row r="94" spans="3:48" ht="17.25" customHeight="1" x14ac:dyDescent="0.25">
      <c r="C94" s="18"/>
      <c r="D94" s="10"/>
      <c r="E94" s="19"/>
      <c r="F94" s="19"/>
      <c r="G94" s="19"/>
      <c r="H94" s="19"/>
      <c r="I94" s="38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19"/>
      <c r="AU94" s="19"/>
      <c r="AV94" s="20"/>
    </row>
    <row r="95" spans="3:48" ht="17.25" customHeight="1" x14ac:dyDescent="0.25">
      <c r="C95" s="18"/>
      <c r="D95" s="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20"/>
    </row>
    <row r="96" spans="3:48" ht="17.25" customHeight="1" x14ac:dyDescent="0.25">
      <c r="C96" s="18"/>
      <c r="D96" s="9"/>
      <c r="E96" s="19"/>
      <c r="F96" s="19"/>
      <c r="G96" s="19"/>
      <c r="H96" s="19"/>
      <c r="I96" s="40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20"/>
    </row>
    <row r="97" spans="3:48" ht="17.25" customHeight="1" x14ac:dyDescent="0.25">
      <c r="C97" s="18"/>
      <c r="D97" s="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20"/>
    </row>
    <row r="98" spans="3:48" ht="17.25" customHeight="1" x14ac:dyDescent="0.25">
      <c r="C98" s="18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20"/>
    </row>
    <row r="99" spans="3:48" ht="17.25" customHeight="1" x14ac:dyDescent="0.25">
      <c r="C99" s="18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20"/>
    </row>
    <row r="100" spans="3:48" ht="17.25" customHeight="1" x14ac:dyDescent="0.25">
      <c r="C100" s="18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20"/>
    </row>
    <row r="101" spans="3:48" ht="17.25" customHeight="1" x14ac:dyDescent="0.25">
      <c r="C101" s="18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20"/>
    </row>
    <row r="102" spans="3:48" ht="17.25" customHeight="1" x14ac:dyDescent="0.25">
      <c r="C102" s="18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20"/>
    </row>
    <row r="103" spans="3:48" ht="17.25" customHeight="1" x14ac:dyDescent="0.25">
      <c r="C103" s="18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20"/>
    </row>
    <row r="104" spans="3:48" ht="17.25" customHeight="1" x14ac:dyDescent="0.25">
      <c r="C104" s="18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20"/>
    </row>
    <row r="105" spans="3:48" ht="17.25" customHeight="1" x14ac:dyDescent="0.25">
      <c r="C105" s="18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20"/>
    </row>
    <row r="106" spans="3:48" ht="17.25" customHeight="1" x14ac:dyDescent="0.25">
      <c r="C106" s="18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20"/>
    </row>
    <row r="107" spans="3:48" ht="17.25" customHeight="1" x14ac:dyDescent="0.25">
      <c r="C107" s="18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20"/>
    </row>
    <row r="108" spans="3:48" ht="17.25" customHeight="1" x14ac:dyDescent="0.25">
      <c r="C108" s="18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20"/>
    </row>
    <row r="109" spans="3:48" ht="17.25" customHeight="1" x14ac:dyDescent="0.25">
      <c r="C109" s="18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20"/>
    </row>
    <row r="110" spans="3:48" ht="37.5" customHeight="1" thickBot="1" x14ac:dyDescent="0.3">
      <c r="C110" s="41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3"/>
    </row>
  </sheetData>
  <mergeCells count="222">
    <mergeCell ref="T69:Z69"/>
    <mergeCell ref="M73:S73"/>
    <mergeCell ref="T73:X73"/>
    <mergeCell ref="AB73:AK73"/>
    <mergeCell ref="AP73:AT73"/>
    <mergeCell ref="AN57:AO57"/>
    <mergeCell ref="AP57:AU57"/>
    <mergeCell ref="L63:R63"/>
    <mergeCell ref="W63:AA63"/>
    <mergeCell ref="AP63:AT63"/>
    <mergeCell ref="R68:Y68"/>
    <mergeCell ref="D55:K55"/>
    <mergeCell ref="L55:Z55"/>
    <mergeCell ref="AA55:AB55"/>
    <mergeCell ref="AC55:AI55"/>
    <mergeCell ref="AJ55:AN55"/>
    <mergeCell ref="AO55:AU55"/>
    <mergeCell ref="D54:K54"/>
    <mergeCell ref="L54:Z54"/>
    <mergeCell ref="AA54:AB54"/>
    <mergeCell ref="AC54:AI54"/>
    <mergeCell ref="AJ54:AN54"/>
    <mergeCell ref="AO54:AU54"/>
    <mergeCell ref="D53:K53"/>
    <mergeCell ref="L53:Z53"/>
    <mergeCell ref="AA53:AB53"/>
    <mergeCell ref="AC53:AI53"/>
    <mergeCell ref="AJ53:AN53"/>
    <mergeCell ref="AO53:AU53"/>
    <mergeCell ref="D52:K52"/>
    <mergeCell ref="L52:Z52"/>
    <mergeCell ref="AA52:AB52"/>
    <mergeCell ref="AC52:AI52"/>
    <mergeCell ref="AJ52:AN52"/>
    <mergeCell ref="AO52:AU52"/>
    <mergeCell ref="AN47:AO47"/>
    <mergeCell ref="AP47:AU47"/>
    <mergeCell ref="AN49:AO49"/>
    <mergeCell ref="AP49:AU49"/>
    <mergeCell ref="D51:K51"/>
    <mergeCell ref="L51:Z51"/>
    <mergeCell ref="AA51:AB51"/>
    <mergeCell ref="AC51:AI51"/>
    <mergeCell ref="AJ51:AN51"/>
    <mergeCell ref="AO51:AU51"/>
    <mergeCell ref="D47:P47"/>
    <mergeCell ref="Q47:T47"/>
    <mergeCell ref="U47:AB47"/>
    <mergeCell ref="AC47:AD47"/>
    <mergeCell ref="AE47:AJ47"/>
    <mergeCell ref="AK47:AM47"/>
    <mergeCell ref="D45:H45"/>
    <mergeCell ref="I45:AM45"/>
    <mergeCell ref="AN45:AO45"/>
    <mergeCell ref="AP45:AU45"/>
    <mergeCell ref="D46:H46"/>
    <mergeCell ref="I46:AM46"/>
    <mergeCell ref="AN46:AO46"/>
    <mergeCell ref="AP46:AU46"/>
    <mergeCell ref="AN43:AO43"/>
    <mergeCell ref="AP43:AU43"/>
    <mergeCell ref="D44:W44"/>
    <mergeCell ref="X44:Y44"/>
    <mergeCell ref="Z44:AB44"/>
    <mergeCell ref="AC44:AG44"/>
    <mergeCell ref="AH44:AJ44"/>
    <mergeCell ref="AK44:AM44"/>
    <mergeCell ref="AN44:AO44"/>
    <mergeCell ref="AP44:AU44"/>
    <mergeCell ref="D43:W43"/>
    <mergeCell ref="X43:Y43"/>
    <mergeCell ref="Z43:AB43"/>
    <mergeCell ref="AC43:AG43"/>
    <mergeCell ref="AH43:AJ43"/>
    <mergeCell ref="AK43:AM43"/>
    <mergeCell ref="AN40:AO40"/>
    <mergeCell ref="AP40:AU40"/>
    <mergeCell ref="D41:W42"/>
    <mergeCell ref="X41:Y42"/>
    <mergeCell ref="Z41:AB42"/>
    <mergeCell ref="AC41:AG42"/>
    <mergeCell ref="AH41:AJ42"/>
    <mergeCell ref="AK41:AM42"/>
    <mergeCell ref="AN41:AO42"/>
    <mergeCell ref="AP41:AU42"/>
    <mergeCell ref="D40:W40"/>
    <mergeCell ref="X40:Y40"/>
    <mergeCell ref="Z40:AB40"/>
    <mergeCell ref="AC40:AG40"/>
    <mergeCell ref="AH40:AI40"/>
    <mergeCell ref="AJ40:AM40"/>
    <mergeCell ref="AN38:AO38"/>
    <mergeCell ref="AP38:AU38"/>
    <mergeCell ref="D39:W39"/>
    <mergeCell ref="X39:Y39"/>
    <mergeCell ref="Z39:AB39"/>
    <mergeCell ref="AC39:AG39"/>
    <mergeCell ref="AH39:AI39"/>
    <mergeCell ref="AJ39:AM39"/>
    <mergeCell ref="AN39:AO39"/>
    <mergeCell ref="AP39:AU39"/>
    <mergeCell ref="D38:W38"/>
    <mergeCell ref="X38:Y38"/>
    <mergeCell ref="Z38:AB38"/>
    <mergeCell ref="AC38:AG38"/>
    <mergeCell ref="AH38:AI38"/>
    <mergeCell ref="AJ38:AM38"/>
    <mergeCell ref="AP33:AU33"/>
    <mergeCell ref="AN35:AO35"/>
    <mergeCell ref="AP35:AU35"/>
    <mergeCell ref="D37:AM37"/>
    <mergeCell ref="AN37:AO37"/>
    <mergeCell ref="AP37:AU37"/>
    <mergeCell ref="AN32:AO32"/>
    <mergeCell ref="AP32:AU32"/>
    <mergeCell ref="D33:O33"/>
    <mergeCell ref="P33:Q33"/>
    <mergeCell ref="R33:W33"/>
    <mergeCell ref="X33:Y33"/>
    <mergeCell ref="Z33:AE33"/>
    <mergeCell ref="AF33:AG33"/>
    <mergeCell ref="AH33:AM33"/>
    <mergeCell ref="AN33:AO33"/>
    <mergeCell ref="AH31:AM31"/>
    <mergeCell ref="AN31:AO31"/>
    <mergeCell ref="AP31:AU31"/>
    <mergeCell ref="D32:O32"/>
    <mergeCell ref="P32:Q32"/>
    <mergeCell ref="R32:W32"/>
    <mergeCell ref="X32:Y32"/>
    <mergeCell ref="Z32:AE32"/>
    <mergeCell ref="AF32:AG32"/>
    <mergeCell ref="AH32:AM32"/>
    <mergeCell ref="D31:O31"/>
    <mergeCell ref="P31:Q31"/>
    <mergeCell ref="R31:W31"/>
    <mergeCell ref="X31:Y31"/>
    <mergeCell ref="Z31:AE31"/>
    <mergeCell ref="AF31:AG31"/>
    <mergeCell ref="D30:O30"/>
    <mergeCell ref="P30:Q30"/>
    <mergeCell ref="R30:W30"/>
    <mergeCell ref="X30:Y30"/>
    <mergeCell ref="Z30:AE30"/>
    <mergeCell ref="AF30:AG30"/>
    <mergeCell ref="AH30:AM30"/>
    <mergeCell ref="AN30:AO30"/>
    <mergeCell ref="AP30:AU30"/>
    <mergeCell ref="D29:O29"/>
    <mergeCell ref="P29:Q29"/>
    <mergeCell ref="R29:W29"/>
    <mergeCell ref="X29:Y29"/>
    <mergeCell ref="Z29:AE29"/>
    <mergeCell ref="AF29:AG29"/>
    <mergeCell ref="AH29:AM29"/>
    <mergeCell ref="AN29:AO29"/>
    <mergeCell ref="AP29:AU29"/>
    <mergeCell ref="AH27:AM27"/>
    <mergeCell ref="AN27:AO27"/>
    <mergeCell ref="AP27:AU27"/>
    <mergeCell ref="D28:O28"/>
    <mergeCell ref="P28:Q28"/>
    <mergeCell ref="R28:W28"/>
    <mergeCell ref="X28:Y28"/>
    <mergeCell ref="Z28:AE28"/>
    <mergeCell ref="AF28:AG28"/>
    <mergeCell ref="AH28:AM28"/>
    <mergeCell ref="D27:O27"/>
    <mergeCell ref="P27:Q27"/>
    <mergeCell ref="R27:W27"/>
    <mergeCell ref="X27:Y27"/>
    <mergeCell ref="Z27:AE27"/>
    <mergeCell ref="AF27:AG27"/>
    <mergeCell ref="AN28:AO28"/>
    <mergeCell ref="AP28:AU28"/>
    <mergeCell ref="AM22:AQ22"/>
    <mergeCell ref="AR22:AS22"/>
    <mergeCell ref="AT22:AU22"/>
    <mergeCell ref="D26:O26"/>
    <mergeCell ref="P26:W26"/>
    <mergeCell ref="X26:AE26"/>
    <mergeCell ref="AF26:AM26"/>
    <mergeCell ref="AN26:AU26"/>
    <mergeCell ref="D21:L21"/>
    <mergeCell ref="M21:AD21"/>
    <mergeCell ref="AE21:AQ21"/>
    <mergeCell ref="AR21:AU21"/>
    <mergeCell ref="D22:Q22"/>
    <mergeCell ref="R22:V22"/>
    <mergeCell ref="W22:Z22"/>
    <mergeCell ref="AA22:AD22"/>
    <mergeCell ref="AE22:AI22"/>
    <mergeCell ref="AJ22:AL22"/>
    <mergeCell ref="D19:Q19"/>
    <mergeCell ref="R19:AQ19"/>
    <mergeCell ref="AR19:AS19"/>
    <mergeCell ref="AT19:AU19"/>
    <mergeCell ref="D20:G20"/>
    <mergeCell ref="H20:Q20"/>
    <mergeCell ref="R20:Z20"/>
    <mergeCell ref="AA20:AF20"/>
    <mergeCell ref="AG20:AN20"/>
    <mergeCell ref="AO20:AU20"/>
    <mergeCell ref="D17:V17"/>
    <mergeCell ref="W17:AQ17"/>
    <mergeCell ref="AR17:AS17"/>
    <mergeCell ref="AT17:AU17"/>
    <mergeCell ref="D18:L18"/>
    <mergeCell ref="M18:T18"/>
    <mergeCell ref="U18:W18"/>
    <mergeCell ref="X18:Z18"/>
    <mergeCell ref="AA18:AE18"/>
    <mergeCell ref="AF18:AU18"/>
    <mergeCell ref="D15:V15"/>
    <mergeCell ref="W15:AQ15"/>
    <mergeCell ref="AR15:AS15"/>
    <mergeCell ref="AT15:AU15"/>
    <mergeCell ref="D16:V16"/>
    <mergeCell ref="W16:X16"/>
    <mergeCell ref="Y16:Z16"/>
    <mergeCell ref="AA16:AE16"/>
    <mergeCell ref="AF16:AU16"/>
  </mergeCells>
  <pageMargins left="0.23622047244094491" right="0.19685039370078741" top="0.78740157480314965" bottom="0.39370078740157483" header="0.43307086614173229" footer="0.31496062992125984"/>
  <pageSetup paperSize="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B1:BH110"/>
  <sheetViews>
    <sheetView showGridLines="0" tabSelected="1" topLeftCell="B89" zoomScale="160" zoomScaleNormal="160" zoomScaleSheetLayoutView="112" zoomScalePageLayoutView="145" workbookViewId="0">
      <selection activeCell="AP73" sqref="AP73:AT73"/>
    </sheetView>
  </sheetViews>
  <sheetFormatPr baseColWidth="10" defaultColWidth="2.140625" defaultRowHeight="17.25" customHeight="1" x14ac:dyDescent="0.25"/>
  <cols>
    <col min="1" max="1" customWidth="true" hidden="true" style="14" width="0.0"/>
    <col min="2" max="2" customWidth="true" style="14" width="1.42578125"/>
    <col min="3" max="3" customWidth="true" style="14" width="1.140625"/>
    <col min="4" max="19" customWidth="true" style="14" width="2.140625"/>
    <col min="20" max="20" customWidth="true" style="14" width="2.7109375"/>
    <col min="21" max="22" customWidth="true" style="14" width="2.140625"/>
    <col min="23" max="23" customWidth="true" style="14" width="1.5703125"/>
    <col min="24" max="24" customWidth="true" style="14" width="2.140625"/>
    <col min="25" max="25" customWidth="true" style="14" width="2.5703125"/>
    <col min="26" max="38" customWidth="true" style="14" width="2.140625"/>
    <col min="39" max="39" customWidth="true" style="14" width="2.7109375"/>
    <col min="40" max="40" customWidth="true" style="14" width="2.140625"/>
    <col min="41" max="41" customWidth="true" style="14" width="3.0"/>
    <col min="42" max="42" customWidth="true" style="14" width="2.140625"/>
    <col min="43" max="43" customWidth="true" style="14" width="3.140625"/>
    <col min="44" max="46" customWidth="true" style="14" width="2.140625"/>
    <col min="47" max="47" customWidth="true" style="14" width="2.5703125"/>
    <col min="48" max="48" customWidth="true" style="14" width="1.7109375"/>
    <col min="49" max="51" style="14" width="2.140625"/>
    <col min="52" max="53" customWidth="true" style="14" width="2.140625"/>
    <col min="54" max="54" customWidth="true" hidden="true" style="14" width="13.28515625"/>
    <col min="55" max="55" customWidth="true" hidden="true" style="14" width="2.140625"/>
    <col min="56" max="56" customWidth="true" hidden="true" style="14" width="11.7109375"/>
    <col min="57" max="58" customWidth="true" hidden="true" style="14" width="10.7109375"/>
    <col min="59" max="59" customWidth="true" style="14" width="10.7109375"/>
    <col min="60" max="60" bestFit="true" customWidth="true" style="14" width="13.28515625"/>
    <col min="61" max="61" customWidth="true" style="14" width="10.7109375"/>
    <col min="62" max="16384" style="14" width="2.140625"/>
  </cols>
  <sheetData>
    <row r="1" spans="3:52" ht="17.25" hidden="1" customHeight="1" x14ac:dyDescent="0.25"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</row>
    <row r="2" spans="3:52" ht="14.25" customHeight="1" x14ac:dyDescent="0.25">
      <c r="C2" s="15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7"/>
    </row>
    <row r="3" spans="3:52" ht="16.5" customHeight="1" x14ac:dyDescent="0.25">
      <c r="C3" s="18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20"/>
    </row>
    <row r="4" spans="3:52" ht="17.25" customHeight="1" x14ac:dyDescent="0.25">
      <c r="C4" s="18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20"/>
    </row>
    <row r="5" spans="3:52" ht="15.75" customHeight="1" x14ac:dyDescent="0.25">
      <c r="C5" s="18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20"/>
    </row>
    <row r="6" spans="3:52" ht="17.25" customHeight="1" x14ac:dyDescent="0.25">
      <c r="C6" s="18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20"/>
    </row>
    <row r="7" spans="3:52" ht="17.25" customHeight="1" x14ac:dyDescent="0.25">
      <c r="C7" s="18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20"/>
    </row>
    <row r="8" spans="3:52" ht="17.25" customHeight="1" x14ac:dyDescent="0.25"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20"/>
    </row>
    <row r="9" spans="3:52" ht="10.5" hidden="1" customHeight="1" x14ac:dyDescent="0.25">
      <c r="C9" s="18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20"/>
    </row>
    <row r="10" spans="3:52" ht="10.5" hidden="1" customHeight="1" x14ac:dyDescent="0.25">
      <c r="C10" s="18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20"/>
    </row>
    <row r="11" spans="3:52" ht="17.25" customHeight="1" thickBot="1" x14ac:dyDescent="0.3">
      <c r="C11" s="21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3"/>
    </row>
    <row r="12" spans="3:52" ht="17.25" customHeight="1" thickTop="1" thickBot="1" x14ac:dyDescent="0.3">
      <c r="C12" s="21"/>
      <c r="D12" s="1" t="s">
        <v>6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 t="s">
        <v>78</v>
      </c>
      <c r="AP12" s="22"/>
      <c r="AQ12" s="22"/>
      <c r="AR12" s="22"/>
      <c r="AS12" s="22"/>
      <c r="AT12" s="22"/>
      <c r="AU12" s="22"/>
      <c r="AV12" s="23"/>
    </row>
    <row r="13" spans="3:52" ht="17.25" hidden="1" customHeight="1" thickTop="1" x14ac:dyDescent="0.25">
      <c r="C13" s="18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20"/>
      <c r="AZ13" s="19"/>
    </row>
    <row r="14" spans="3:52" ht="9" customHeight="1" thickTop="1" x14ac:dyDescent="0.25">
      <c r="C14" s="18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20"/>
    </row>
    <row r="15" spans="3:52" ht="17.25" customHeight="1" x14ac:dyDescent="0.25">
      <c r="C15" s="18"/>
      <c r="D15" s="65" t="s">
        <v>7</v>
      </c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8">
        <v>1</v>
      </c>
      <c r="AS15" s="68"/>
      <c r="AT15" s="68">
        <v>2</v>
      </c>
      <c r="AU15" s="68"/>
      <c r="AV15" s="20"/>
    </row>
    <row r="16" spans="3:52" ht="17.25" customHeight="1" x14ac:dyDescent="0.25">
      <c r="C16" s="18"/>
      <c r="D16" s="65" t="s">
        <v>8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9" t="s">
        <v>80</v>
      </c>
      <c r="X16" s="69"/>
      <c r="Y16" s="69"/>
      <c r="Z16" s="69"/>
      <c r="AA16" s="70" t="s">
        <v>9</v>
      </c>
      <c r="AB16" s="70"/>
      <c r="AC16" s="70"/>
      <c r="AD16" s="70"/>
      <c r="AE16" s="70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20"/>
    </row>
    <row r="17" spans="3:60" ht="17.25" customHeight="1" x14ac:dyDescent="0.25">
      <c r="C17" s="18"/>
      <c r="D17" s="65" t="s">
        <v>10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71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3"/>
      <c r="AR17" s="68">
        <v>1</v>
      </c>
      <c r="AS17" s="68"/>
      <c r="AT17" s="68">
        <v>2</v>
      </c>
      <c r="AU17" s="68"/>
      <c r="AV17" s="20"/>
    </row>
    <row r="18" spans="3:60" ht="17.25" customHeight="1" x14ac:dyDescent="0.25">
      <c r="C18" s="18"/>
      <c r="D18" s="65" t="s">
        <v>11</v>
      </c>
      <c r="E18" s="65"/>
      <c r="F18" s="65"/>
      <c r="G18" s="65"/>
      <c r="H18" s="65"/>
      <c r="I18" s="65"/>
      <c r="J18" s="65"/>
      <c r="K18" s="65"/>
      <c r="L18" s="65"/>
      <c r="M18" s="74"/>
      <c r="N18" s="75"/>
      <c r="O18" s="75"/>
      <c r="P18" s="75"/>
      <c r="Q18" s="75"/>
      <c r="R18" s="75"/>
      <c r="S18" s="75"/>
      <c r="T18" s="76"/>
      <c r="U18" s="77" t="s">
        <v>12</v>
      </c>
      <c r="V18" s="77"/>
      <c r="W18" s="77"/>
      <c r="X18" s="68"/>
      <c r="Y18" s="68"/>
      <c r="Z18" s="68"/>
      <c r="AA18" s="78" t="s">
        <v>9</v>
      </c>
      <c r="AB18" s="78"/>
      <c r="AC18" s="78"/>
      <c r="AD18" s="78"/>
      <c r="AE18" s="78"/>
      <c r="AF18" s="74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6"/>
      <c r="AV18" s="20"/>
      <c r="BE18" s="24"/>
      <c r="BF18" s="24"/>
      <c r="BG18" s="24"/>
      <c r="BH18" s="24"/>
    </row>
    <row r="19" spans="3:60" ht="17.25" customHeight="1" x14ac:dyDescent="0.25">
      <c r="C19" s="18"/>
      <c r="D19" s="65" t="s">
        <v>13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74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6"/>
      <c r="AR19" s="68">
        <v>1</v>
      </c>
      <c r="AS19" s="68"/>
      <c r="AT19" s="68">
        <v>2</v>
      </c>
      <c r="AU19" s="68"/>
      <c r="AV19" s="2"/>
      <c r="AW19" s="25"/>
      <c r="BD19" s="24"/>
      <c r="BE19" s="26"/>
    </row>
    <row r="20" spans="3:60" ht="17.25" customHeight="1" x14ac:dyDescent="0.25">
      <c r="C20" s="18"/>
      <c r="D20" s="79" t="s">
        <v>14</v>
      </c>
      <c r="E20" s="80"/>
      <c r="F20" s="80"/>
      <c r="G20" s="81"/>
      <c r="H20" s="82"/>
      <c r="I20" s="83"/>
      <c r="J20" s="83"/>
      <c r="K20" s="83"/>
      <c r="L20" s="83"/>
      <c r="M20" s="83"/>
      <c r="N20" s="83"/>
      <c r="O20" s="83"/>
      <c r="P20" s="83"/>
      <c r="Q20" s="84"/>
      <c r="R20" s="85" t="s">
        <v>15</v>
      </c>
      <c r="S20" s="86"/>
      <c r="T20" s="86"/>
      <c r="U20" s="86"/>
      <c r="V20" s="86"/>
      <c r="W20" s="86"/>
      <c r="X20" s="86"/>
      <c r="Y20" s="86"/>
      <c r="Z20" s="87"/>
      <c r="AA20" s="88"/>
      <c r="AB20" s="89"/>
      <c r="AC20" s="89"/>
      <c r="AD20" s="89"/>
      <c r="AE20" s="89"/>
      <c r="AF20" s="90"/>
      <c r="AG20" s="85" t="s">
        <v>67</v>
      </c>
      <c r="AH20" s="86"/>
      <c r="AI20" s="86"/>
      <c r="AJ20" s="86"/>
      <c r="AK20" s="86"/>
      <c r="AL20" s="86"/>
      <c r="AM20" s="86"/>
      <c r="AN20" s="87"/>
      <c r="AO20" s="88"/>
      <c r="AP20" s="89"/>
      <c r="AQ20" s="89"/>
      <c r="AR20" s="89"/>
      <c r="AS20" s="89"/>
      <c r="AT20" s="89"/>
      <c r="AU20" s="90"/>
      <c r="AV20" s="20"/>
      <c r="BB20" s="43"/>
      <c r="BD20" s="27"/>
    </row>
    <row r="21" spans="3:60" ht="17.25" customHeight="1" x14ac:dyDescent="0.25">
      <c r="C21" s="18"/>
      <c r="D21" s="99" t="s">
        <v>16</v>
      </c>
      <c r="E21" s="99"/>
      <c r="F21" s="99"/>
      <c r="G21" s="99"/>
      <c r="H21" s="99"/>
      <c r="I21" s="99"/>
      <c r="J21" s="99"/>
      <c r="K21" s="99"/>
      <c r="L21" s="99"/>
      <c r="M21" s="74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6"/>
      <c r="AE21" s="100" t="s">
        <v>17</v>
      </c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2"/>
      <c r="AR21" s="103">
        <f>AP35</f>
        <v>0</v>
      </c>
      <c r="AS21" s="104"/>
      <c r="AT21" s="104"/>
      <c r="AU21" s="105"/>
      <c r="AV21" s="2"/>
      <c r="AW21" s="25"/>
      <c r="BB21" s="42"/>
      <c r="BF21" s="44"/>
    </row>
    <row r="22" spans="3:60" ht="17.25" customHeight="1" x14ac:dyDescent="0.25">
      <c r="C22" s="18"/>
      <c r="D22" s="95" t="s">
        <v>18</v>
      </c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7"/>
      <c r="R22" s="95" t="s">
        <v>2</v>
      </c>
      <c r="S22" s="96"/>
      <c r="T22" s="96"/>
      <c r="U22" s="96"/>
      <c r="V22" s="97"/>
      <c r="W22" s="106">
        <f>BB24</f>
        <v>0</v>
      </c>
      <c r="X22" s="107"/>
      <c r="Y22" s="107"/>
      <c r="Z22" s="108"/>
      <c r="AA22" s="95" t="s">
        <v>0</v>
      </c>
      <c r="AB22" s="96"/>
      <c r="AC22" s="96"/>
      <c r="AD22" s="97"/>
      <c r="AE22" s="106">
        <f>BB25</f>
        <v>0</v>
      </c>
      <c r="AF22" s="107"/>
      <c r="AG22" s="107"/>
      <c r="AH22" s="107"/>
      <c r="AI22" s="108"/>
      <c r="AJ22" s="95" t="s">
        <v>3</v>
      </c>
      <c r="AK22" s="96"/>
      <c r="AL22" s="97"/>
      <c r="AM22" s="106">
        <f>BB26</f>
      </c>
      <c r="AN22" s="92"/>
      <c r="AO22" s="92"/>
      <c r="AP22" s="92"/>
      <c r="AQ22" s="93"/>
      <c r="AR22" s="94"/>
      <c r="AS22" s="94"/>
      <c r="AT22" s="68"/>
      <c r="AU22" s="68"/>
      <c r="AV22" s="2"/>
      <c r="AW22" s="25"/>
      <c r="BB22" s="45"/>
      <c r="BC22" s="46"/>
      <c r="BD22" s="46"/>
    </row>
    <row r="23" spans="3:60" ht="10.5" customHeight="1" thickBot="1" x14ac:dyDescent="0.3">
      <c r="C23" s="21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3"/>
      <c r="BB23" s="46">
        <f>IF(AO20="","",DAYS360(AA20,AO20)+1)</f>
        <v>0</v>
      </c>
      <c r="BC23" s="46"/>
      <c r="BD23" s="46" t="s">
        <v>74</v>
      </c>
      <c r="BE23" s="14">
        <f t="shared" ref="BE23" si="0">BE22+1</f>
        <v>1</v>
      </c>
    </row>
    <row r="24" spans="3:60" ht="17.25" customHeight="1" thickTop="1" thickBot="1" x14ac:dyDescent="0.3">
      <c r="C24" s="28"/>
      <c r="D24" s="3" t="s">
        <v>19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30"/>
      <c r="BB24" s="46">
        <f>+ROUNDDOWN(BB23/360,0)</f>
        <v>0</v>
      </c>
      <c r="BC24" s="46"/>
      <c r="BD24" s="46" t="s">
        <v>72</v>
      </c>
      <c r="BE24" s="14">
        <v>1</v>
      </c>
    </row>
    <row r="25" spans="3:60" ht="17.25" customHeight="1" thickTop="1" x14ac:dyDescent="0.25">
      <c r="C25" s="18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20"/>
      <c r="BB25" s="46">
        <f>ROUNDDOWN((BB23-(BB24*360))/30,0)</f>
        <v>0</v>
      </c>
      <c r="BC25" s="46"/>
      <c r="BD25" s="46" t="s">
        <v>71</v>
      </c>
      <c r="BE25" s="14">
        <f>BE24+1</f>
        <v>2</v>
      </c>
    </row>
    <row r="26" spans="3:60" ht="17.25" customHeight="1" x14ac:dyDescent="0.25">
      <c r="C26" s="18"/>
      <c r="D26" s="65" t="s">
        <v>20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95"/>
      <c r="Q26" s="96"/>
      <c r="R26" s="96"/>
      <c r="S26" s="96"/>
      <c r="T26" s="96"/>
      <c r="U26" s="96"/>
      <c r="V26" s="96"/>
      <c r="W26" s="97"/>
      <c r="X26" s="95"/>
      <c r="Y26" s="96"/>
      <c r="Z26" s="96"/>
      <c r="AA26" s="96"/>
      <c r="AB26" s="96"/>
      <c r="AC26" s="96"/>
      <c r="AD26" s="96"/>
      <c r="AE26" s="97"/>
      <c r="AF26" s="95"/>
      <c r="AG26" s="96"/>
      <c r="AH26" s="96"/>
      <c r="AI26" s="96"/>
      <c r="AJ26" s="96"/>
      <c r="AK26" s="96"/>
      <c r="AL26" s="96"/>
      <c r="AM26" s="97"/>
      <c r="AN26" s="98" t="s">
        <v>5</v>
      </c>
      <c r="AO26" s="98"/>
      <c r="AP26" s="98"/>
      <c r="AQ26" s="98"/>
      <c r="AR26" s="98"/>
      <c r="AS26" s="98"/>
      <c r="AT26" s="98"/>
      <c r="AU26" s="98"/>
      <c r="AV26" s="20"/>
      <c r="BB26" s="46">
        <f>BB23-(BB24*360+BB25*30)</f>
        <v>0</v>
      </c>
      <c r="BC26" s="46"/>
      <c r="BD26" s="46" t="s">
        <v>73</v>
      </c>
      <c r="BE26" s="14">
        <f t="shared" ref="BE26:BE35" si="1">BE25+1</f>
        <v>3</v>
      </c>
    </row>
    <row r="27" spans="3:60" ht="17.25" customHeight="1" x14ac:dyDescent="0.25">
      <c r="C27" s="18"/>
      <c r="D27" s="67" t="s">
        <v>21</v>
      </c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8" t="s">
        <v>4</v>
      </c>
      <c r="Q27" s="68"/>
      <c r="R27" s="109"/>
      <c r="S27" s="110"/>
      <c r="T27" s="110"/>
      <c r="U27" s="110"/>
      <c r="V27" s="110"/>
      <c r="W27" s="111"/>
      <c r="X27" s="68" t="s">
        <v>4</v>
      </c>
      <c r="Y27" s="68"/>
      <c r="Z27" s="109"/>
      <c r="AA27" s="110"/>
      <c r="AB27" s="110"/>
      <c r="AC27" s="110"/>
      <c r="AD27" s="110"/>
      <c r="AE27" s="111"/>
      <c r="AF27" s="68" t="s">
        <v>4</v>
      </c>
      <c r="AG27" s="68"/>
      <c r="AH27" s="109"/>
      <c r="AI27" s="110"/>
      <c r="AJ27" s="110"/>
      <c r="AK27" s="110"/>
      <c r="AL27" s="110"/>
      <c r="AM27" s="111"/>
      <c r="AN27" s="68" t="s">
        <v>4</v>
      </c>
      <c r="AO27" s="68"/>
      <c r="AP27" s="112">
        <f>SUM(R27+Z27+AH27)</f>
        <v>0</v>
      </c>
      <c r="AQ27" s="113"/>
      <c r="AR27" s="113"/>
      <c r="AS27" s="113"/>
      <c r="AT27" s="113"/>
      <c r="AU27" s="114"/>
      <c r="AV27" s="20"/>
      <c r="BB27" s="46"/>
      <c r="BC27" s="46"/>
      <c r="BD27" s="46"/>
      <c r="BE27" s="14">
        <f t="shared" si="1"/>
        <v>4</v>
      </c>
    </row>
    <row r="28" spans="3:60" ht="17.25" customHeight="1" x14ac:dyDescent="0.25">
      <c r="C28" s="18"/>
      <c r="D28" s="115" t="s">
        <v>22</v>
      </c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8" t="s">
        <v>4</v>
      </c>
      <c r="Q28" s="68"/>
      <c r="R28" s="74"/>
      <c r="S28" s="75"/>
      <c r="T28" s="75"/>
      <c r="U28" s="75"/>
      <c r="V28" s="75"/>
      <c r="W28" s="76"/>
      <c r="X28" s="68" t="s">
        <v>4</v>
      </c>
      <c r="Y28" s="68"/>
      <c r="Z28" s="74"/>
      <c r="AA28" s="75"/>
      <c r="AB28" s="75"/>
      <c r="AC28" s="75"/>
      <c r="AD28" s="75"/>
      <c r="AE28" s="76"/>
      <c r="AF28" s="68" t="s">
        <v>4</v>
      </c>
      <c r="AG28" s="68"/>
      <c r="AH28" s="74"/>
      <c r="AI28" s="75"/>
      <c r="AJ28" s="75"/>
      <c r="AK28" s="75"/>
      <c r="AL28" s="75"/>
      <c r="AM28" s="76"/>
      <c r="AN28" s="68" t="s">
        <v>4</v>
      </c>
      <c r="AO28" s="68"/>
      <c r="AP28" s="74"/>
      <c r="AQ28" s="75"/>
      <c r="AR28" s="75"/>
      <c r="AS28" s="75"/>
      <c r="AT28" s="75"/>
      <c r="AU28" s="76"/>
      <c r="AV28" s="20"/>
      <c r="BB28" s="46"/>
      <c r="BC28" s="46"/>
      <c r="BD28" s="46"/>
      <c r="BE28" s="14">
        <f t="shared" si="1"/>
        <v>5</v>
      </c>
    </row>
    <row r="29" spans="3:60" ht="17.25" customHeight="1" x14ac:dyDescent="0.25">
      <c r="C29" s="18" t="s">
        <v>23</v>
      </c>
      <c r="D29" s="116" t="s">
        <v>68</v>
      </c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8"/>
      <c r="P29" s="68" t="s">
        <v>4</v>
      </c>
      <c r="Q29" s="68"/>
      <c r="R29" s="74"/>
      <c r="S29" s="75"/>
      <c r="T29" s="75"/>
      <c r="U29" s="75"/>
      <c r="V29" s="75"/>
      <c r="W29" s="76"/>
      <c r="X29" s="68" t="s">
        <v>4</v>
      </c>
      <c r="Y29" s="68"/>
      <c r="Z29" s="74"/>
      <c r="AA29" s="75"/>
      <c r="AB29" s="75"/>
      <c r="AC29" s="75"/>
      <c r="AD29" s="75"/>
      <c r="AE29" s="76"/>
      <c r="AF29" s="68" t="s">
        <v>4</v>
      </c>
      <c r="AG29" s="68"/>
      <c r="AH29" s="74"/>
      <c r="AI29" s="75"/>
      <c r="AJ29" s="75"/>
      <c r="AK29" s="75"/>
      <c r="AL29" s="75"/>
      <c r="AM29" s="76"/>
      <c r="AN29" s="68" t="s">
        <v>4</v>
      </c>
      <c r="AO29" s="68"/>
      <c r="AP29" s="74"/>
      <c r="AQ29" s="75"/>
      <c r="AR29" s="75"/>
      <c r="AS29" s="75"/>
      <c r="AT29" s="75"/>
      <c r="AU29" s="76"/>
      <c r="AV29" s="20"/>
      <c r="BE29" s="14">
        <f t="shared" si="1"/>
        <v>6</v>
      </c>
    </row>
    <row r="30" spans="3:60" ht="17.25" customHeight="1" x14ac:dyDescent="0.25">
      <c r="C30" s="18"/>
      <c r="D30" s="69" t="s">
        <v>76</v>
      </c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8" t="s">
        <v>4</v>
      </c>
      <c r="Q30" s="68"/>
      <c r="R30" s="119"/>
      <c r="S30" s="120"/>
      <c r="T30" s="120"/>
      <c r="U30" s="120"/>
      <c r="V30" s="120"/>
      <c r="W30" s="121"/>
      <c r="X30" s="68" t="s">
        <v>4</v>
      </c>
      <c r="Y30" s="68"/>
      <c r="Z30" s="119"/>
      <c r="AA30" s="120"/>
      <c r="AB30" s="120"/>
      <c r="AC30" s="120"/>
      <c r="AD30" s="120"/>
      <c r="AE30" s="121"/>
      <c r="AF30" s="68" t="s">
        <v>4</v>
      </c>
      <c r="AG30" s="68"/>
      <c r="AH30" s="119"/>
      <c r="AI30" s="120"/>
      <c r="AJ30" s="120"/>
      <c r="AK30" s="120"/>
      <c r="AL30" s="120"/>
      <c r="AM30" s="121"/>
      <c r="AN30" s="68" t="s">
        <v>4</v>
      </c>
      <c r="AO30" s="68"/>
      <c r="AP30" s="112">
        <f>SUM(R30+Z30+AH30)</f>
        <v>0</v>
      </c>
      <c r="AQ30" s="113"/>
      <c r="AR30" s="113"/>
      <c r="AS30" s="113"/>
      <c r="AT30" s="113"/>
      <c r="AU30" s="114"/>
      <c r="AV30" s="20"/>
      <c r="BE30" s="14">
        <f t="shared" si="1"/>
        <v>7</v>
      </c>
    </row>
    <row r="31" spans="3:60" ht="17.25" customHeight="1" x14ac:dyDescent="0.25">
      <c r="C31" s="18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8" t="s">
        <v>4</v>
      </c>
      <c r="Q31" s="68"/>
      <c r="R31" s="122"/>
      <c r="S31" s="122"/>
      <c r="T31" s="122"/>
      <c r="U31" s="122"/>
      <c r="V31" s="122"/>
      <c r="W31" s="122"/>
      <c r="X31" s="68" t="s">
        <v>4</v>
      </c>
      <c r="Y31" s="68"/>
      <c r="Z31" s="122"/>
      <c r="AA31" s="122"/>
      <c r="AB31" s="122"/>
      <c r="AC31" s="122"/>
      <c r="AD31" s="122"/>
      <c r="AE31" s="122"/>
      <c r="AF31" s="68" t="s">
        <v>4</v>
      </c>
      <c r="AG31" s="68"/>
      <c r="AH31" s="122"/>
      <c r="AI31" s="122"/>
      <c r="AJ31" s="122"/>
      <c r="AK31" s="122"/>
      <c r="AL31" s="122"/>
      <c r="AM31" s="122"/>
      <c r="AN31" s="68" t="s">
        <v>4</v>
      </c>
      <c r="AO31" s="68"/>
      <c r="AP31" s="122"/>
      <c r="AQ31" s="122"/>
      <c r="AR31" s="122"/>
      <c r="AS31" s="122"/>
      <c r="AT31" s="122"/>
      <c r="AU31" s="122"/>
      <c r="AV31" s="20"/>
      <c r="BE31" s="14">
        <f t="shared" si="1"/>
        <v>8</v>
      </c>
    </row>
    <row r="32" spans="3:60" ht="17.25" customHeight="1" x14ac:dyDescent="0.25">
      <c r="C32" s="18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8" t="s">
        <v>4</v>
      </c>
      <c r="Q32" s="68"/>
      <c r="R32" s="122"/>
      <c r="S32" s="122"/>
      <c r="T32" s="122"/>
      <c r="U32" s="122"/>
      <c r="V32" s="122"/>
      <c r="W32" s="122"/>
      <c r="X32" s="68" t="s">
        <v>4</v>
      </c>
      <c r="Y32" s="68"/>
      <c r="Z32" s="122"/>
      <c r="AA32" s="122"/>
      <c r="AB32" s="122"/>
      <c r="AC32" s="122"/>
      <c r="AD32" s="122"/>
      <c r="AE32" s="122"/>
      <c r="AF32" s="68" t="s">
        <v>4</v>
      </c>
      <c r="AG32" s="68"/>
      <c r="AH32" s="122"/>
      <c r="AI32" s="122"/>
      <c r="AJ32" s="122"/>
      <c r="AK32" s="122"/>
      <c r="AL32" s="122"/>
      <c r="AM32" s="122"/>
      <c r="AN32" s="68" t="s">
        <v>4</v>
      </c>
      <c r="AO32" s="68"/>
      <c r="AP32" s="122"/>
      <c r="AQ32" s="122"/>
      <c r="AR32" s="122"/>
      <c r="AS32" s="122"/>
      <c r="AT32" s="122"/>
      <c r="AU32" s="122"/>
      <c r="AV32" s="20"/>
      <c r="BE32" s="14">
        <f t="shared" si="1"/>
        <v>9</v>
      </c>
    </row>
    <row r="33" spans="3:57" ht="17.25" customHeight="1" x14ac:dyDescent="0.25">
      <c r="C33" s="18"/>
      <c r="D33" s="65" t="s">
        <v>24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8" t="s">
        <v>4</v>
      </c>
      <c r="Q33" s="68"/>
      <c r="R33" s="122">
        <f>SUM(R27:W32)</f>
        <v>0</v>
      </c>
      <c r="S33" s="69"/>
      <c r="T33" s="69"/>
      <c r="U33" s="69"/>
      <c r="V33" s="69"/>
      <c r="W33" s="69"/>
      <c r="X33" s="68" t="s">
        <v>4</v>
      </c>
      <c r="Y33" s="68"/>
      <c r="Z33" s="122">
        <f>SUM(Z27:AE32)</f>
        <v>0</v>
      </c>
      <c r="AA33" s="69"/>
      <c r="AB33" s="69"/>
      <c r="AC33" s="69"/>
      <c r="AD33" s="69"/>
      <c r="AE33" s="69"/>
      <c r="AF33" s="68" t="s">
        <v>4</v>
      </c>
      <c r="AG33" s="68"/>
      <c r="AH33" s="122">
        <f>SUM(AH27:AM32)</f>
        <v>0</v>
      </c>
      <c r="AI33" s="69"/>
      <c r="AJ33" s="69"/>
      <c r="AK33" s="69"/>
      <c r="AL33" s="69"/>
      <c r="AM33" s="69"/>
      <c r="AN33" s="68" t="s">
        <v>4</v>
      </c>
      <c r="AO33" s="68"/>
      <c r="AP33" s="123">
        <f>SUM(AP27:AU32)</f>
        <v>0</v>
      </c>
      <c r="AQ33" s="123"/>
      <c r="AR33" s="123"/>
      <c r="AS33" s="123"/>
      <c r="AT33" s="123"/>
      <c r="AU33" s="123"/>
      <c r="AV33" s="20"/>
      <c r="BE33" s="14">
        <f t="shared" si="1"/>
        <v>10</v>
      </c>
    </row>
    <row r="34" spans="3:57" ht="14.25" customHeight="1" thickBot="1" x14ac:dyDescent="0.3">
      <c r="C34" s="21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3"/>
      <c r="BE34" s="14">
        <f t="shared" si="1"/>
        <v>11</v>
      </c>
    </row>
    <row r="35" spans="3:57" ht="17.25" customHeight="1" thickTop="1" thickBot="1" x14ac:dyDescent="0.3">
      <c r="C35" s="28"/>
      <c r="D35" s="4" t="s">
        <v>25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124" t="s">
        <v>4</v>
      </c>
      <c r="AO35" s="124"/>
      <c r="AP35" s="125">
        <f>AP33/3</f>
        <v>0</v>
      </c>
      <c r="AQ35" s="125"/>
      <c r="AR35" s="125"/>
      <c r="AS35" s="125"/>
      <c r="AT35" s="125"/>
      <c r="AU35" s="125"/>
      <c r="AV35" s="30"/>
      <c r="BE35" s="14">
        <f t="shared" si="1"/>
        <v>12</v>
      </c>
    </row>
    <row r="36" spans="3:57" ht="17.25" customHeight="1" thickTop="1" x14ac:dyDescent="0.25">
      <c r="C36" s="18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20"/>
    </row>
    <row r="37" spans="3:57" ht="17.25" customHeight="1" x14ac:dyDescent="0.25">
      <c r="C37" s="18"/>
      <c r="D37" s="67" t="s">
        <v>26</v>
      </c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126" t="s">
        <v>27</v>
      </c>
      <c r="AO37" s="126"/>
      <c r="AP37" s="127"/>
      <c r="AQ37" s="127"/>
      <c r="AR37" s="127"/>
      <c r="AS37" s="127"/>
      <c r="AT37" s="127"/>
      <c r="AU37" s="127"/>
      <c r="AV37" s="20"/>
    </row>
    <row r="38" spans="3:57" ht="17.25" customHeight="1" x14ac:dyDescent="0.25">
      <c r="C38" s="18"/>
      <c r="D38" s="67" t="s">
        <v>28</v>
      </c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8" t="s">
        <v>1</v>
      </c>
      <c r="Y38" s="68"/>
      <c r="Z38" s="128">
        <f>W22</f>
        <v>0</v>
      </c>
      <c r="AA38" s="117"/>
      <c r="AB38" s="118"/>
      <c r="AC38" s="71" t="s">
        <v>2</v>
      </c>
      <c r="AD38" s="72"/>
      <c r="AE38" s="72"/>
      <c r="AF38" s="72"/>
      <c r="AG38" s="73"/>
      <c r="AH38" s="128" t="s">
        <v>27</v>
      </c>
      <c r="AI38" s="118"/>
      <c r="AJ38" s="129"/>
      <c r="AK38" s="130"/>
      <c r="AL38" s="130"/>
      <c r="AM38" s="131"/>
      <c r="AN38" s="128"/>
      <c r="AO38" s="118"/>
      <c r="AP38" s="109">
        <f>+AP35*Z38</f>
        <v>0</v>
      </c>
      <c r="AQ38" s="110"/>
      <c r="AR38" s="110"/>
      <c r="AS38" s="110"/>
      <c r="AT38" s="110"/>
      <c r="AU38" s="111"/>
      <c r="AV38" s="20"/>
    </row>
    <row r="39" spans="3:57" ht="17.25" customHeight="1" x14ac:dyDescent="0.25">
      <c r="C39" s="18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8" t="s">
        <v>1</v>
      </c>
      <c r="Y39" s="68"/>
      <c r="Z39" s="128">
        <f>+AE22</f>
        <v>0</v>
      </c>
      <c r="AA39" s="117"/>
      <c r="AB39" s="118"/>
      <c r="AC39" s="71" t="s">
        <v>0</v>
      </c>
      <c r="AD39" s="72"/>
      <c r="AE39" s="72"/>
      <c r="AF39" s="72"/>
      <c r="AG39" s="73"/>
      <c r="AH39" s="128" t="s">
        <v>27</v>
      </c>
      <c r="AI39" s="118"/>
      <c r="AJ39" s="129"/>
      <c r="AK39" s="130"/>
      <c r="AL39" s="130"/>
      <c r="AM39" s="131"/>
      <c r="AN39" s="128"/>
      <c r="AO39" s="118"/>
      <c r="AP39" s="109">
        <f>+(AP35/12)*Z39</f>
        <v>0</v>
      </c>
      <c r="AQ39" s="110"/>
      <c r="AR39" s="110"/>
      <c r="AS39" s="110"/>
      <c r="AT39" s="110"/>
      <c r="AU39" s="111"/>
      <c r="AV39" s="20"/>
    </row>
    <row r="40" spans="3:57" ht="17.25" customHeight="1" x14ac:dyDescent="0.25">
      <c r="C40" s="18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8" t="s">
        <v>1</v>
      </c>
      <c r="Y40" s="68"/>
      <c r="Z40" s="128">
        <f>AM22</f>
        <v>0</v>
      </c>
      <c r="AA40" s="117"/>
      <c r="AB40" s="118"/>
      <c r="AC40" s="71" t="s">
        <v>3</v>
      </c>
      <c r="AD40" s="72"/>
      <c r="AE40" s="72"/>
      <c r="AF40" s="72"/>
      <c r="AG40" s="73"/>
      <c r="AH40" s="128" t="s">
        <v>27</v>
      </c>
      <c r="AI40" s="118"/>
      <c r="AJ40" s="129"/>
      <c r="AK40" s="130"/>
      <c r="AL40" s="130"/>
      <c r="AM40" s="131"/>
      <c r="AN40" s="128"/>
      <c r="AO40" s="118"/>
      <c r="AP40" s="109">
        <f>+(AP35/360)*Z40</f>
        <v>0</v>
      </c>
      <c r="AQ40" s="110"/>
      <c r="AR40" s="110"/>
      <c r="AS40" s="110"/>
      <c r="AT40" s="110"/>
      <c r="AU40" s="111"/>
      <c r="AV40" s="20"/>
    </row>
    <row r="41" spans="3:57" ht="17.25" customHeight="1" x14ac:dyDescent="0.25">
      <c r="C41" s="18"/>
      <c r="D41" s="132" t="s">
        <v>69</v>
      </c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4"/>
      <c r="X41" s="138" t="s">
        <v>1</v>
      </c>
      <c r="Y41" s="139"/>
      <c r="Z41" s="142"/>
      <c r="AA41" s="143"/>
      <c r="AB41" s="144"/>
      <c r="AC41" s="138" t="s">
        <v>29</v>
      </c>
      <c r="AD41" s="148"/>
      <c r="AE41" s="148"/>
      <c r="AF41" s="148"/>
      <c r="AG41" s="139"/>
      <c r="AH41" s="142"/>
      <c r="AI41" s="143"/>
      <c r="AJ41" s="144"/>
      <c r="AK41" s="138" t="s">
        <v>3</v>
      </c>
      <c r="AL41" s="148"/>
      <c r="AM41" s="139"/>
      <c r="AN41" s="142" t="s">
        <v>27</v>
      </c>
      <c r="AO41" s="144"/>
      <c r="AP41" s="150">
        <f>((AP35/12)*Z41+AP35/360*AH41)</f>
        <v>0</v>
      </c>
      <c r="AQ41" s="151"/>
      <c r="AR41" s="151"/>
      <c r="AS41" s="151"/>
      <c r="AT41" s="151"/>
      <c r="AU41" s="152"/>
      <c r="AV41" s="20"/>
    </row>
    <row r="42" spans="3:57" ht="17.25" customHeight="1" x14ac:dyDescent="0.25">
      <c r="C42" s="18"/>
      <c r="D42" s="135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7"/>
      <c r="X42" s="140"/>
      <c r="Y42" s="141"/>
      <c r="Z42" s="145"/>
      <c r="AA42" s="146"/>
      <c r="AB42" s="147"/>
      <c r="AC42" s="140"/>
      <c r="AD42" s="149"/>
      <c r="AE42" s="149"/>
      <c r="AF42" s="149"/>
      <c r="AG42" s="141"/>
      <c r="AH42" s="145"/>
      <c r="AI42" s="146"/>
      <c r="AJ42" s="147"/>
      <c r="AK42" s="140"/>
      <c r="AL42" s="149"/>
      <c r="AM42" s="141"/>
      <c r="AN42" s="145"/>
      <c r="AO42" s="147"/>
      <c r="AP42" s="153"/>
      <c r="AQ42" s="154"/>
      <c r="AR42" s="154"/>
      <c r="AS42" s="154"/>
      <c r="AT42" s="154"/>
      <c r="AU42" s="155"/>
      <c r="AV42" s="20"/>
    </row>
    <row r="43" spans="3:57" ht="17.25" customHeight="1" x14ac:dyDescent="0.25">
      <c r="C43" s="18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8" t="s">
        <v>1</v>
      </c>
      <c r="Y43" s="68"/>
      <c r="Z43" s="128"/>
      <c r="AA43" s="117"/>
      <c r="AB43" s="118"/>
      <c r="AC43" s="71" t="s">
        <v>29</v>
      </c>
      <c r="AD43" s="72"/>
      <c r="AE43" s="72"/>
      <c r="AF43" s="72"/>
      <c r="AG43" s="73"/>
      <c r="AH43" s="128"/>
      <c r="AI43" s="117"/>
      <c r="AJ43" s="118"/>
      <c r="AK43" s="74"/>
      <c r="AL43" s="75"/>
      <c r="AM43" s="76"/>
      <c r="AN43" s="128" t="s">
        <v>27</v>
      </c>
      <c r="AO43" s="118"/>
      <c r="AP43" s="109">
        <f>+($AP$35/2/12)*Z43</f>
        <v>0</v>
      </c>
      <c r="AQ43" s="110"/>
      <c r="AR43" s="110"/>
      <c r="AS43" s="110"/>
      <c r="AT43" s="110"/>
      <c r="AU43" s="111"/>
      <c r="AV43" s="20"/>
    </row>
    <row r="44" spans="3:57" ht="17.25" customHeight="1" x14ac:dyDescent="0.25">
      <c r="C44" s="18"/>
      <c r="D44" s="67" t="s">
        <v>75</v>
      </c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8" t="s">
        <v>1</v>
      </c>
      <c r="Y44" s="68"/>
      <c r="Z44" s="128"/>
      <c r="AA44" s="117"/>
      <c r="AB44" s="118"/>
      <c r="AC44" s="71" t="s">
        <v>3</v>
      </c>
      <c r="AD44" s="72"/>
      <c r="AE44" s="72"/>
      <c r="AF44" s="72"/>
      <c r="AG44" s="73"/>
      <c r="AH44" s="128"/>
      <c r="AI44" s="117"/>
      <c r="AJ44" s="118"/>
      <c r="AK44" s="74"/>
      <c r="AL44" s="75"/>
      <c r="AM44" s="76"/>
      <c r="AN44" s="128" t="s">
        <v>27</v>
      </c>
      <c r="AO44" s="118"/>
      <c r="AP44" s="109">
        <f>+AP35/30*Z44</f>
        <v>0</v>
      </c>
      <c r="AQ44" s="110"/>
      <c r="AR44" s="110"/>
      <c r="AS44" s="110"/>
      <c r="AT44" s="110"/>
      <c r="AU44" s="111"/>
      <c r="AV44" s="20"/>
    </row>
    <row r="45" spans="3:57" ht="17.25" customHeight="1" x14ac:dyDescent="0.25">
      <c r="C45" s="18"/>
      <c r="D45" s="67" t="s">
        <v>30</v>
      </c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128" t="s">
        <v>27</v>
      </c>
      <c r="AO45" s="118"/>
      <c r="AP45" s="156"/>
      <c r="AQ45" s="157"/>
      <c r="AR45" s="157"/>
      <c r="AS45" s="157"/>
      <c r="AT45" s="157"/>
      <c r="AU45" s="158"/>
      <c r="AV45" s="20"/>
    </row>
    <row r="46" spans="3:57" ht="17.25" customHeight="1" x14ac:dyDescent="0.25">
      <c r="C46" s="18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128" t="s">
        <v>27</v>
      </c>
      <c r="AO46" s="118"/>
      <c r="AP46" s="109"/>
      <c r="AQ46" s="110"/>
      <c r="AR46" s="110"/>
      <c r="AS46" s="110"/>
      <c r="AT46" s="110"/>
      <c r="AU46" s="111"/>
      <c r="AV46" s="20"/>
    </row>
    <row r="47" spans="3:57" ht="17.25" customHeight="1" x14ac:dyDescent="0.25">
      <c r="C47" s="18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74" t="s">
        <v>31</v>
      </c>
      <c r="R47" s="75"/>
      <c r="S47" s="75"/>
      <c r="T47" s="76"/>
      <c r="U47" s="69"/>
      <c r="V47" s="69"/>
      <c r="W47" s="69"/>
      <c r="X47" s="69"/>
      <c r="Y47" s="69"/>
      <c r="Z47" s="69"/>
      <c r="AA47" s="69"/>
      <c r="AB47" s="69"/>
      <c r="AC47" s="74" t="s">
        <v>1</v>
      </c>
      <c r="AD47" s="76"/>
      <c r="AE47" s="69"/>
      <c r="AF47" s="69"/>
      <c r="AG47" s="69"/>
      <c r="AH47" s="69"/>
      <c r="AI47" s="69"/>
      <c r="AJ47" s="69"/>
      <c r="AK47" s="74" t="s">
        <v>3</v>
      </c>
      <c r="AL47" s="75"/>
      <c r="AM47" s="76"/>
      <c r="AN47" s="128" t="s">
        <v>27</v>
      </c>
      <c r="AO47" s="118"/>
      <c r="AP47" s="127"/>
      <c r="AQ47" s="67"/>
      <c r="AR47" s="67"/>
      <c r="AS47" s="67"/>
      <c r="AT47" s="67"/>
      <c r="AU47" s="67"/>
      <c r="AV47" s="20"/>
    </row>
    <row r="48" spans="3:57" ht="17.25" customHeight="1" thickBot="1" x14ac:dyDescent="0.3">
      <c r="C48" s="21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3"/>
    </row>
    <row r="49" spans="2:56" ht="17.25" customHeight="1" thickTop="1" thickBot="1" x14ac:dyDescent="0.3">
      <c r="C49" s="5" t="s">
        <v>32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4"/>
      <c r="AN49" s="124" t="s">
        <v>27</v>
      </c>
      <c r="AO49" s="124"/>
      <c r="AP49" s="159">
        <f>SUM(AP37:AU47)</f>
        <v>0</v>
      </c>
      <c r="AQ49" s="159"/>
      <c r="AR49" s="159"/>
      <c r="AS49" s="159"/>
      <c r="AT49" s="159"/>
      <c r="AU49" s="159"/>
      <c r="AV49" s="30"/>
    </row>
    <row r="50" spans="2:56" ht="10.5" customHeight="1" thickTop="1" x14ac:dyDescent="0.25">
      <c r="C50" s="18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20"/>
    </row>
    <row r="51" spans="2:56" ht="17.25" customHeight="1" x14ac:dyDescent="0.25">
      <c r="C51" s="18"/>
      <c r="D51" s="98" t="s">
        <v>33</v>
      </c>
      <c r="E51" s="98"/>
      <c r="F51" s="98"/>
      <c r="G51" s="98"/>
      <c r="H51" s="98"/>
      <c r="I51" s="98"/>
      <c r="J51" s="98"/>
      <c r="K51" s="98"/>
      <c r="L51" s="160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26" t="s">
        <v>27</v>
      </c>
      <c r="AB51" s="126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162"/>
      <c r="AP51" s="162"/>
      <c r="AQ51" s="162"/>
      <c r="AR51" s="162"/>
      <c r="AS51" s="162"/>
      <c r="AT51" s="162"/>
      <c r="AU51" s="162"/>
      <c r="AV51" s="20"/>
    </row>
    <row r="52" spans="2:56" ht="17.25" customHeight="1" x14ac:dyDescent="0.25">
      <c r="C52" s="6"/>
      <c r="D52" s="98"/>
      <c r="E52" s="98"/>
      <c r="F52" s="98"/>
      <c r="G52" s="98"/>
      <c r="H52" s="98"/>
      <c r="I52" s="98"/>
      <c r="J52" s="98"/>
      <c r="K52" s="98"/>
      <c r="L52" s="131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126" t="s">
        <v>27</v>
      </c>
      <c r="AB52" s="126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163"/>
      <c r="AP52" s="163"/>
      <c r="AQ52" s="163"/>
      <c r="AR52" s="163"/>
      <c r="AS52" s="163"/>
      <c r="AT52" s="163"/>
      <c r="AU52" s="163"/>
      <c r="AV52" s="20"/>
    </row>
    <row r="53" spans="2:56" ht="17.25" customHeight="1" x14ac:dyDescent="0.25">
      <c r="C53" s="6"/>
      <c r="D53" s="98"/>
      <c r="E53" s="98"/>
      <c r="F53" s="98"/>
      <c r="G53" s="98"/>
      <c r="H53" s="98"/>
      <c r="I53" s="98"/>
      <c r="J53" s="98"/>
      <c r="K53" s="98"/>
      <c r="L53" s="131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126" t="s">
        <v>27</v>
      </c>
      <c r="AB53" s="126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20"/>
    </row>
    <row r="54" spans="2:56" ht="17.25" customHeight="1" x14ac:dyDescent="0.25">
      <c r="C54" s="6"/>
      <c r="D54" s="98"/>
      <c r="E54" s="98"/>
      <c r="F54" s="98"/>
      <c r="G54" s="98"/>
      <c r="H54" s="98"/>
      <c r="I54" s="98"/>
      <c r="J54" s="98"/>
      <c r="K54" s="98"/>
      <c r="L54" s="131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126" t="s">
        <v>27</v>
      </c>
      <c r="AB54" s="126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20"/>
    </row>
    <row r="55" spans="2:56" ht="17.25" customHeight="1" x14ac:dyDescent="0.25">
      <c r="C55" s="6"/>
      <c r="D55" s="98"/>
      <c r="E55" s="98"/>
      <c r="F55" s="98"/>
      <c r="G55" s="98"/>
      <c r="H55" s="98"/>
      <c r="I55" s="98"/>
      <c r="J55" s="98"/>
      <c r="K55" s="98"/>
      <c r="L55" s="131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126" t="s">
        <v>27</v>
      </c>
      <c r="AB55" s="126"/>
      <c r="AC55" s="69"/>
      <c r="AD55" s="69"/>
      <c r="AE55" s="69"/>
      <c r="AF55" s="69"/>
      <c r="AG55" s="69"/>
      <c r="AH55" s="69"/>
      <c r="AI55" s="69"/>
      <c r="AJ55" s="65" t="s">
        <v>34</v>
      </c>
      <c r="AK55" s="65"/>
      <c r="AL55" s="65"/>
      <c r="AM55" s="65"/>
      <c r="AN55" s="65"/>
      <c r="AO55" s="109">
        <f>SUM(AO51:AU54)</f>
        <v>0</v>
      </c>
      <c r="AP55" s="110"/>
      <c r="AQ55" s="110"/>
      <c r="AR55" s="110"/>
      <c r="AS55" s="110"/>
      <c r="AT55" s="110"/>
      <c r="AU55" s="111"/>
      <c r="AV55" s="20"/>
      <c r="BD55" s="31"/>
    </row>
    <row r="56" spans="2:56" ht="12.6" customHeight="1" thickBot="1" x14ac:dyDescent="0.3">
      <c r="C56" s="21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3"/>
    </row>
    <row r="57" spans="2:56" ht="21.75" customHeight="1" thickTop="1" thickBot="1" x14ac:dyDescent="0.3">
      <c r="C57" s="61" t="s">
        <v>35</v>
      </c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167" t="s">
        <v>27</v>
      </c>
      <c r="AO57" s="167"/>
      <c r="AP57" s="168">
        <f>SUM(AP49-AO55)</f>
        <v>0</v>
      </c>
      <c r="AQ57" s="168"/>
      <c r="AR57" s="168"/>
      <c r="AS57" s="168"/>
      <c r="AT57" s="168"/>
      <c r="AU57" s="168"/>
      <c r="AV57" s="64"/>
    </row>
    <row r="58" spans="2:56" ht="21.75" customHeight="1" x14ac:dyDescent="0.25">
      <c r="B58" s="19"/>
      <c r="C58" s="36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9"/>
      <c r="AN58" s="36"/>
      <c r="AO58" s="36"/>
      <c r="AP58" s="60"/>
      <c r="AQ58" s="60"/>
      <c r="AR58" s="60"/>
      <c r="AS58" s="60"/>
      <c r="AT58" s="60"/>
      <c r="AU58" s="60"/>
      <c r="AV58" s="19"/>
      <c r="AW58" s="19"/>
      <c r="AX58" s="19"/>
      <c r="AY58" s="19"/>
    </row>
    <row r="59" spans="2:56" ht="21.75" customHeight="1" x14ac:dyDescent="0.25">
      <c r="B59" s="19"/>
      <c r="C59" s="36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9"/>
      <c r="AN59" s="36"/>
      <c r="AO59" s="36"/>
      <c r="AP59" s="60"/>
      <c r="AQ59" s="60"/>
      <c r="AR59" s="60"/>
      <c r="AS59" s="60"/>
      <c r="AT59" s="60"/>
      <c r="AU59" s="60"/>
      <c r="AV59" s="19"/>
      <c r="AW59" s="19"/>
      <c r="AX59" s="19"/>
      <c r="AY59" s="19"/>
    </row>
    <row r="60" spans="2:56" ht="21.75" customHeight="1" x14ac:dyDescent="0.25">
      <c r="B60" s="19"/>
      <c r="C60" s="36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9"/>
      <c r="AN60" s="36"/>
      <c r="AO60" s="36"/>
      <c r="AP60" s="60"/>
      <c r="AQ60" s="60"/>
      <c r="AR60" s="60"/>
      <c r="AS60" s="60"/>
      <c r="AT60" s="60"/>
      <c r="AU60" s="60"/>
      <c r="AV60" s="19"/>
      <c r="AW60" s="19"/>
      <c r="AX60" s="19"/>
      <c r="AY60" s="19"/>
    </row>
    <row r="61" spans="2:56" ht="11.25" customHeight="1" thickBot="1" x14ac:dyDescent="0.3">
      <c r="B61" s="19"/>
      <c r="C61" s="36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9"/>
      <c r="AN61" s="36"/>
      <c r="AO61" s="36"/>
      <c r="AP61" s="60"/>
      <c r="AQ61" s="60"/>
      <c r="AR61" s="60"/>
      <c r="AS61" s="60"/>
      <c r="AT61" s="60"/>
      <c r="AU61" s="60"/>
      <c r="AV61" s="19"/>
      <c r="AW61" s="19"/>
      <c r="AX61" s="19"/>
      <c r="AY61" s="19"/>
    </row>
    <row r="62" spans="2:56" ht="17.25" customHeight="1" x14ac:dyDescent="0.25">
      <c r="C62" s="15"/>
      <c r="D62" s="16"/>
      <c r="E62" s="16"/>
      <c r="F62" s="16"/>
      <c r="G62" s="16"/>
      <c r="H62" s="16"/>
      <c r="I62" s="16"/>
      <c r="J62" s="16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8"/>
    </row>
    <row r="63" spans="2:56" ht="17.25" customHeight="1" x14ac:dyDescent="0.25">
      <c r="C63" s="18"/>
      <c r="D63" s="7" t="s">
        <v>36</v>
      </c>
      <c r="E63" s="19"/>
      <c r="F63" s="19"/>
      <c r="G63" s="19"/>
      <c r="H63" s="19"/>
      <c r="I63" s="19"/>
      <c r="J63" s="19"/>
      <c r="K63" s="49"/>
      <c r="L63" s="169" t="s">
        <v>37</v>
      </c>
      <c r="M63" s="170"/>
      <c r="N63" s="170"/>
      <c r="O63" s="170"/>
      <c r="P63" s="170"/>
      <c r="Q63" s="170"/>
      <c r="R63" s="170"/>
      <c r="S63" s="49"/>
      <c r="T63" s="49" t="s">
        <v>38</v>
      </c>
      <c r="U63" s="58" t="s">
        <v>39</v>
      </c>
      <c r="V63" s="8" t="s">
        <v>40</v>
      </c>
      <c r="W63" s="171" t="s">
        <v>41</v>
      </c>
      <c r="X63" s="172"/>
      <c r="Y63" s="172"/>
      <c r="Z63" s="172"/>
      <c r="AA63" s="172"/>
      <c r="AB63" s="50" t="s">
        <v>38</v>
      </c>
      <c r="AC63" s="7"/>
      <c r="AD63" s="49" t="s">
        <v>40</v>
      </c>
      <c r="AE63" s="7" t="s">
        <v>42</v>
      </c>
      <c r="AF63" s="51"/>
      <c r="AG63" s="51"/>
      <c r="AH63" s="51"/>
      <c r="AI63" s="51"/>
      <c r="AJ63" s="51"/>
      <c r="AK63" s="51"/>
      <c r="AL63" s="7" t="s">
        <v>43</v>
      </c>
      <c r="AM63" s="49"/>
      <c r="AN63" s="49"/>
      <c r="AO63" s="49"/>
      <c r="AP63" s="172"/>
      <c r="AQ63" s="172"/>
      <c r="AR63" s="172"/>
      <c r="AS63" s="172"/>
      <c r="AT63" s="172"/>
      <c r="AU63" s="49"/>
      <c r="AV63" s="52"/>
    </row>
    <row r="64" spans="2:56" ht="17.25" customHeight="1" x14ac:dyDescent="0.25">
      <c r="C64" s="18"/>
      <c r="D64" s="7" t="s">
        <v>44</v>
      </c>
      <c r="E64" s="19"/>
      <c r="F64" s="19"/>
      <c r="G64" s="19"/>
      <c r="H64" s="19"/>
      <c r="I64" s="19"/>
      <c r="J64" s="19"/>
      <c r="K64" s="49"/>
      <c r="L64" s="49"/>
      <c r="M64" s="49"/>
      <c r="N64" s="49"/>
      <c r="O64" s="49"/>
      <c r="P64" s="49"/>
      <c r="Q64" s="49"/>
      <c r="R64" s="49"/>
      <c r="S64" s="53" t="s">
        <v>79</v>
      </c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49"/>
      <c r="AU64" s="49"/>
      <c r="AV64" s="52"/>
    </row>
    <row r="65" spans="3:48" ht="17.25" customHeight="1" x14ac:dyDescent="0.25">
      <c r="C65" s="18"/>
      <c r="D65" s="19"/>
      <c r="E65" s="19"/>
      <c r="F65" s="19"/>
      <c r="G65" s="19"/>
      <c r="H65" s="19"/>
      <c r="I65" s="19"/>
      <c r="J65" s="1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52"/>
    </row>
    <row r="66" spans="3:48" ht="17.25" customHeight="1" x14ac:dyDescent="0.25">
      <c r="C66" s="18"/>
      <c r="D66" s="19"/>
      <c r="E66" s="19"/>
      <c r="F66" s="19"/>
      <c r="G66" s="19"/>
      <c r="H66" s="19"/>
      <c r="I66" s="19"/>
      <c r="J66" s="1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52"/>
    </row>
    <row r="67" spans="3:48" ht="17.25" customHeight="1" x14ac:dyDescent="0.25">
      <c r="C67" s="18"/>
      <c r="D67" s="7" t="s">
        <v>45</v>
      </c>
      <c r="E67" s="19"/>
      <c r="F67" s="34"/>
      <c r="G67" s="35">
        <f>W17</f>
        <v>0</v>
      </c>
      <c r="H67" s="34"/>
      <c r="I67" s="34"/>
      <c r="J67" s="34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49"/>
      <c r="AU67" s="49"/>
      <c r="AV67" s="52"/>
    </row>
    <row r="68" spans="3:48" ht="17.25" customHeight="1" x14ac:dyDescent="0.25">
      <c r="C68" s="18"/>
      <c r="D68" s="9" t="s">
        <v>46</v>
      </c>
      <c r="E68" s="19"/>
      <c r="F68" s="19"/>
      <c r="G68" s="19"/>
      <c r="H68" s="19"/>
      <c r="I68" s="19"/>
      <c r="J68" s="19"/>
      <c r="K68" s="49"/>
      <c r="L68" s="49"/>
      <c r="M68" s="49"/>
      <c r="N68" s="49"/>
      <c r="O68" s="49"/>
      <c r="P68" s="49"/>
      <c r="Q68" s="49"/>
      <c r="R68" s="96">
        <f>H20</f>
        <v>0</v>
      </c>
      <c r="S68" s="96"/>
      <c r="T68" s="96"/>
      <c r="U68" s="96"/>
      <c r="V68" s="96"/>
      <c r="W68" s="96"/>
      <c r="X68" s="96"/>
      <c r="Y68" s="96"/>
      <c r="Z68" s="49"/>
      <c r="AA68" s="9" t="s">
        <v>47</v>
      </c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52"/>
    </row>
    <row r="69" spans="3:48" ht="17.25" customHeight="1" x14ac:dyDescent="0.25">
      <c r="C69" s="18"/>
      <c r="D69" s="9" t="s">
        <v>48</v>
      </c>
      <c r="E69" s="19"/>
      <c r="F69" s="19"/>
      <c r="G69" s="19"/>
      <c r="H69" s="19"/>
      <c r="I69" s="19"/>
      <c r="J69" s="19"/>
      <c r="K69" s="49"/>
      <c r="L69" s="49"/>
      <c r="M69" s="49"/>
      <c r="N69" s="49"/>
      <c r="O69" s="49"/>
      <c r="P69" s="49"/>
      <c r="Q69" s="49"/>
      <c r="R69" s="36" t="str">
        <f>+AN57</f>
        <v>Bs.</v>
      </c>
      <c r="S69" s="49"/>
      <c r="T69" s="164">
        <f>AP57</f>
        <v>0</v>
      </c>
      <c r="U69" s="164"/>
      <c r="V69" s="164"/>
      <c r="W69" s="164"/>
      <c r="X69" s="164"/>
      <c r="Y69" s="164"/>
      <c r="Z69" s="164"/>
      <c r="AA69" s="9" t="s">
        <v>49</v>
      </c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52"/>
    </row>
    <row r="70" spans="3:48" ht="17.25" customHeight="1" x14ac:dyDescent="0.25">
      <c r="C70" s="18"/>
      <c r="D70" s="9" t="s">
        <v>50</v>
      </c>
      <c r="E70" s="19"/>
      <c r="F70" s="19"/>
      <c r="G70" s="19"/>
      <c r="H70" s="19"/>
      <c r="I70" s="19"/>
      <c r="J70" s="1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52"/>
    </row>
    <row r="71" spans="3:48" ht="17.25" customHeight="1" x14ac:dyDescent="0.25">
      <c r="C71" s="18"/>
      <c r="D71" s="9" t="s">
        <v>51</v>
      </c>
      <c r="E71" s="19"/>
      <c r="F71" s="19"/>
      <c r="G71" s="19"/>
      <c r="H71" s="19"/>
      <c r="I71" s="19"/>
      <c r="J71" s="1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52"/>
    </row>
    <row r="72" spans="3:48" ht="17.25" customHeight="1" x14ac:dyDescent="0.25">
      <c r="C72" s="18"/>
      <c r="D72" s="7"/>
      <c r="E72" s="19"/>
      <c r="F72" s="19"/>
      <c r="G72" s="19"/>
      <c r="H72" s="19"/>
      <c r="I72" s="19"/>
      <c r="J72" s="1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52"/>
    </row>
    <row r="73" spans="3:48" ht="17.25" customHeight="1" x14ac:dyDescent="0.25">
      <c r="C73" s="18"/>
      <c r="D73" s="9" t="s">
        <v>52</v>
      </c>
      <c r="E73" s="19"/>
      <c r="F73" s="19"/>
      <c r="G73" s="19"/>
      <c r="H73" s="19"/>
      <c r="I73" s="19"/>
      <c r="J73" s="19"/>
      <c r="K73" s="49"/>
      <c r="L73" s="49"/>
      <c r="M73" s="165" t="s">
        <v>70</v>
      </c>
      <c r="N73" s="165"/>
      <c r="O73" s="165"/>
      <c r="P73" s="165"/>
      <c r="Q73" s="165"/>
      <c r="R73" s="165"/>
      <c r="S73" s="165"/>
      <c r="T73" s="166"/>
      <c r="U73" s="166"/>
      <c r="V73" s="166"/>
      <c r="W73" s="166"/>
      <c r="X73" s="166"/>
      <c r="Y73" s="49" t="s">
        <v>58</v>
      </c>
      <c r="Z73" s="49" t="s">
        <v>53</v>
      </c>
      <c r="AA73" s="49"/>
      <c r="AB73" s="166"/>
      <c r="AC73" s="166"/>
      <c r="AD73" s="166"/>
      <c r="AE73" s="166"/>
      <c r="AF73" s="166"/>
      <c r="AG73" s="166"/>
      <c r="AH73" s="166"/>
      <c r="AI73" s="166"/>
      <c r="AJ73" s="166"/>
      <c r="AK73" s="166"/>
      <c r="AL73" s="49"/>
      <c r="AM73" s="49" t="s">
        <v>58</v>
      </c>
      <c r="AN73" s="49" t="s">
        <v>53</v>
      </c>
      <c r="AO73" s="49"/>
      <c r="AP73" s="166"/>
      <c r="AQ73" s="166"/>
      <c r="AR73" s="166"/>
      <c r="AS73" s="166"/>
      <c r="AT73" s="166"/>
      <c r="AU73" s="49"/>
      <c r="AV73" s="52"/>
    </row>
    <row r="74" spans="3:48" ht="17.25" customHeight="1" x14ac:dyDescent="0.25">
      <c r="C74" s="18"/>
      <c r="D74" s="7"/>
      <c r="E74" s="19"/>
      <c r="F74" s="19"/>
      <c r="G74" s="19"/>
      <c r="H74" s="19"/>
      <c r="I74" s="19"/>
      <c r="J74" s="1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52"/>
    </row>
    <row r="75" spans="3:48" ht="17.25" customHeight="1" x14ac:dyDescent="0.25">
      <c r="C75" s="18"/>
      <c r="D75" s="7"/>
      <c r="E75" s="19"/>
      <c r="F75" s="19"/>
      <c r="G75" s="19"/>
      <c r="H75" s="19"/>
      <c r="I75" s="19"/>
      <c r="J75" s="1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52"/>
    </row>
    <row r="76" spans="3:48" ht="17.25" customHeight="1" x14ac:dyDescent="0.25">
      <c r="C76" s="18"/>
      <c r="D76" s="7"/>
      <c r="E76" s="19"/>
      <c r="F76" s="19"/>
      <c r="G76" s="19"/>
      <c r="H76" s="19"/>
      <c r="I76" s="19"/>
      <c r="J76" s="1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52"/>
    </row>
    <row r="77" spans="3:48" ht="17.25" customHeight="1" x14ac:dyDescent="0.25">
      <c r="C77" s="18"/>
      <c r="D77" s="7"/>
      <c r="E77" s="19"/>
      <c r="F77" s="19"/>
      <c r="G77" s="19"/>
      <c r="H77" s="19"/>
      <c r="I77" s="19"/>
      <c r="J77" s="1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52"/>
    </row>
    <row r="78" spans="3:48" ht="17.25" customHeight="1" x14ac:dyDescent="0.25">
      <c r="C78" s="18"/>
      <c r="D78" s="7"/>
      <c r="E78" s="19"/>
      <c r="F78" s="19"/>
      <c r="G78" s="19"/>
      <c r="H78" s="19"/>
      <c r="I78" s="19"/>
      <c r="J78" s="1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52"/>
    </row>
    <row r="79" spans="3:48" ht="17.25" customHeight="1" x14ac:dyDescent="0.25">
      <c r="C79" s="18"/>
      <c r="D79" s="9"/>
      <c r="E79" s="19"/>
      <c r="F79" s="19"/>
      <c r="G79" s="19"/>
      <c r="H79" s="19"/>
      <c r="I79" s="19"/>
      <c r="J79" s="1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52"/>
    </row>
    <row r="80" spans="3:48" ht="17.25" customHeight="1" x14ac:dyDescent="0.25">
      <c r="C80" s="18"/>
      <c r="D80" s="9"/>
      <c r="E80" s="19"/>
      <c r="F80" s="19"/>
      <c r="G80" s="19"/>
      <c r="H80" s="19"/>
      <c r="I80" s="13"/>
      <c r="J80" s="12" t="s">
        <v>59</v>
      </c>
      <c r="K80" s="12" t="s">
        <v>60</v>
      </c>
      <c r="L80" s="12" t="s">
        <v>56</v>
      </c>
      <c r="M80" s="12" t="s">
        <v>53</v>
      </c>
      <c r="N80" s="12" t="s">
        <v>61</v>
      </c>
      <c r="O80" s="12" t="s">
        <v>53</v>
      </c>
      <c r="P80" s="12" t="s">
        <v>62</v>
      </c>
      <c r="Q80" s="12" t="s">
        <v>55</v>
      </c>
      <c r="R80" s="12" t="s">
        <v>58</v>
      </c>
      <c r="S80" s="12" t="s">
        <v>57</v>
      </c>
      <c r="T80" s="55"/>
      <c r="U80" s="49"/>
      <c r="V80" s="49"/>
      <c r="W80" s="49"/>
      <c r="X80" s="49"/>
      <c r="Y80" s="49"/>
      <c r="Z80" s="49"/>
      <c r="AA80" s="49"/>
      <c r="AB80" s="49"/>
      <c r="AC80" s="55"/>
      <c r="AD80" s="12" t="s">
        <v>63</v>
      </c>
      <c r="AE80" s="12" t="s">
        <v>53</v>
      </c>
      <c r="AF80" s="12" t="s">
        <v>61</v>
      </c>
      <c r="AG80" s="12" t="s">
        <v>53</v>
      </c>
      <c r="AH80" s="12" t="s">
        <v>60</v>
      </c>
      <c r="AI80" s="12" t="s">
        <v>56</v>
      </c>
      <c r="AJ80" s="12" t="s">
        <v>53</v>
      </c>
      <c r="AK80" s="12"/>
      <c r="AL80" s="12" t="s">
        <v>63</v>
      </c>
      <c r="AM80" s="12" t="s">
        <v>53</v>
      </c>
      <c r="AN80" s="12" t="s">
        <v>60</v>
      </c>
      <c r="AO80" s="12" t="s">
        <v>53</v>
      </c>
      <c r="AP80" s="12" t="s">
        <v>61</v>
      </c>
      <c r="AQ80" s="12" t="s">
        <v>55</v>
      </c>
      <c r="AR80" s="12" t="s">
        <v>54</v>
      </c>
      <c r="AS80" s="49"/>
      <c r="AT80" s="49"/>
      <c r="AU80" s="49"/>
      <c r="AV80" s="52"/>
    </row>
    <row r="81" spans="3:48" ht="17.25" customHeight="1" x14ac:dyDescent="0.25">
      <c r="C81" s="18"/>
      <c r="D81" s="9"/>
      <c r="E81" s="19"/>
      <c r="F81" s="19"/>
      <c r="G81" s="19"/>
      <c r="H81" s="19"/>
      <c r="I81" s="19"/>
      <c r="J81" s="1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52"/>
    </row>
    <row r="82" spans="3:48" ht="17.25" customHeight="1" x14ac:dyDescent="0.25">
      <c r="C82" s="18"/>
      <c r="D82" s="37"/>
      <c r="E82" s="19"/>
      <c r="F82" s="19"/>
      <c r="G82" s="19"/>
      <c r="H82" s="19"/>
      <c r="I82" s="19"/>
      <c r="J82" s="1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52"/>
    </row>
    <row r="83" spans="3:48" ht="17.25" customHeight="1" x14ac:dyDescent="0.25">
      <c r="C83" s="18"/>
      <c r="D83" s="9"/>
      <c r="E83" s="19"/>
      <c r="F83" s="19"/>
      <c r="G83" s="19"/>
      <c r="H83" s="19"/>
      <c r="I83" s="19"/>
      <c r="J83" s="1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52"/>
    </row>
    <row r="84" spans="3:48" ht="17.25" customHeight="1" x14ac:dyDescent="0.25">
      <c r="C84" s="18"/>
      <c r="D84" s="9"/>
      <c r="E84" s="19"/>
      <c r="F84" s="19"/>
      <c r="G84" s="19"/>
      <c r="H84" s="19"/>
      <c r="I84" s="19"/>
      <c r="J84" s="1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52"/>
    </row>
    <row r="85" spans="3:48" ht="17.25" customHeight="1" x14ac:dyDescent="0.25">
      <c r="C85" s="18"/>
      <c r="D85" s="10"/>
      <c r="E85" s="19"/>
      <c r="F85" s="19"/>
      <c r="G85" s="19"/>
      <c r="H85" s="19"/>
      <c r="I85" s="19"/>
      <c r="J85" s="1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52"/>
    </row>
    <row r="86" spans="3:48" ht="17.25" customHeight="1" x14ac:dyDescent="0.25">
      <c r="C86" s="18"/>
      <c r="D86" s="9"/>
      <c r="E86" s="19"/>
      <c r="F86" s="19"/>
      <c r="G86" s="19"/>
      <c r="H86" s="19"/>
      <c r="I86" s="19"/>
      <c r="J86" s="1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52"/>
    </row>
    <row r="87" spans="3:48" ht="17.25" customHeight="1" x14ac:dyDescent="0.25">
      <c r="C87" s="18"/>
      <c r="D87" s="9"/>
      <c r="E87" s="19"/>
      <c r="F87" s="19"/>
      <c r="G87" s="19"/>
      <c r="H87" s="19"/>
      <c r="I87" s="19"/>
      <c r="J87" s="1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52"/>
    </row>
    <row r="88" spans="3:48" ht="17.25" customHeight="1" x14ac:dyDescent="0.25">
      <c r="C88" s="18"/>
      <c r="D88" s="9"/>
      <c r="E88" s="19"/>
      <c r="F88" s="19"/>
      <c r="G88" s="12" t="s">
        <v>64</v>
      </c>
      <c r="H88" s="12"/>
      <c r="I88" s="12" t="s">
        <v>65</v>
      </c>
      <c r="J88" s="12"/>
      <c r="K88" s="12" t="s">
        <v>66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36" t="s">
        <v>62</v>
      </c>
      <c r="AK88" s="36" t="s">
        <v>53</v>
      </c>
      <c r="AL88" s="36" t="s">
        <v>54</v>
      </c>
      <c r="AM88" s="36" t="s">
        <v>54</v>
      </c>
      <c r="AN88" s="36" t="s">
        <v>57</v>
      </c>
      <c r="AO88" s="49"/>
      <c r="AP88" s="49"/>
      <c r="AQ88" s="49"/>
      <c r="AR88" s="49"/>
      <c r="AS88" s="49"/>
      <c r="AT88" s="49"/>
      <c r="AU88" s="49"/>
      <c r="AV88" s="52"/>
    </row>
    <row r="89" spans="3:48" ht="17.25" customHeight="1" x14ac:dyDescent="0.25">
      <c r="C89" s="18"/>
      <c r="D89" s="9"/>
      <c r="E89" s="19"/>
      <c r="F89" s="19"/>
      <c r="G89" s="19"/>
      <c r="H89" s="19"/>
      <c r="I89" s="19"/>
      <c r="J89" s="1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52"/>
    </row>
    <row r="90" spans="3:48" ht="17.25" customHeight="1" x14ac:dyDescent="0.25">
      <c r="C90" s="18"/>
      <c r="D90" s="9"/>
      <c r="E90" s="19"/>
      <c r="F90" s="19"/>
      <c r="G90" s="19"/>
      <c r="H90" s="19"/>
      <c r="I90" s="19"/>
      <c r="J90" s="1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52"/>
    </row>
    <row r="91" spans="3:48" ht="17.25" customHeight="1" thickBot="1" x14ac:dyDescent="0.3">
      <c r="C91" s="21"/>
      <c r="D91" s="11"/>
      <c r="E91" s="22"/>
      <c r="F91" s="22"/>
      <c r="G91" s="22"/>
      <c r="H91" s="22"/>
      <c r="I91" s="22"/>
      <c r="J91" s="22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7"/>
    </row>
    <row r="92" spans="3:48" ht="17.25" customHeight="1" thickTop="1" x14ac:dyDescent="0.25">
      <c r="C92" s="18"/>
      <c r="D92" s="9"/>
      <c r="E92" s="19"/>
      <c r="F92" s="19"/>
      <c r="G92" s="19"/>
      <c r="H92" s="19"/>
      <c r="I92" s="19"/>
      <c r="J92" s="1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52"/>
    </row>
    <row r="93" spans="3:48" ht="17.25" customHeight="1" x14ac:dyDescent="0.25">
      <c r="C93" s="18"/>
      <c r="D93" s="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20"/>
    </row>
    <row r="94" spans="3:48" ht="17.25" customHeight="1" x14ac:dyDescent="0.25">
      <c r="C94" s="18"/>
      <c r="D94" s="10"/>
      <c r="E94" s="19"/>
      <c r="F94" s="19"/>
      <c r="G94" s="19"/>
      <c r="H94" s="19"/>
      <c r="I94" s="38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19"/>
      <c r="AU94" s="19"/>
      <c r="AV94" s="20"/>
    </row>
    <row r="95" spans="3:48" ht="17.25" customHeight="1" x14ac:dyDescent="0.25">
      <c r="C95" s="18"/>
      <c r="D95" s="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20"/>
    </row>
    <row r="96" spans="3:48" ht="17.25" customHeight="1" x14ac:dyDescent="0.25">
      <c r="C96" s="18"/>
      <c r="D96" s="9"/>
      <c r="E96" s="19"/>
      <c r="F96" s="19"/>
      <c r="G96" s="19"/>
      <c r="H96" s="19"/>
      <c r="I96" s="40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20"/>
    </row>
    <row r="97" spans="3:48" ht="17.25" customHeight="1" x14ac:dyDescent="0.25">
      <c r="C97" s="18"/>
      <c r="D97" s="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20"/>
    </row>
    <row r="98" spans="3:48" ht="17.25" customHeight="1" x14ac:dyDescent="0.25">
      <c r="C98" s="18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20"/>
    </row>
    <row r="99" spans="3:48" ht="17.25" customHeight="1" x14ac:dyDescent="0.25">
      <c r="C99" s="18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20"/>
    </row>
    <row r="100" spans="3:48" ht="17.25" customHeight="1" x14ac:dyDescent="0.25">
      <c r="C100" s="18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20"/>
    </row>
    <row r="101" spans="3:48" ht="17.25" customHeight="1" x14ac:dyDescent="0.25">
      <c r="C101" s="18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20"/>
    </row>
    <row r="102" spans="3:48" ht="17.25" customHeight="1" x14ac:dyDescent="0.25">
      <c r="C102" s="18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20"/>
    </row>
    <row r="103" spans="3:48" ht="17.25" customHeight="1" x14ac:dyDescent="0.25">
      <c r="C103" s="18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20"/>
    </row>
    <row r="104" spans="3:48" ht="17.25" customHeight="1" x14ac:dyDescent="0.25">
      <c r="C104" s="18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20"/>
    </row>
    <row r="105" spans="3:48" ht="17.25" customHeight="1" x14ac:dyDescent="0.25">
      <c r="C105" s="18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20"/>
    </row>
    <row r="106" spans="3:48" ht="17.25" customHeight="1" x14ac:dyDescent="0.25">
      <c r="C106" s="18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20"/>
    </row>
    <row r="107" spans="3:48" ht="17.25" customHeight="1" x14ac:dyDescent="0.25">
      <c r="C107" s="18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20"/>
    </row>
    <row r="108" spans="3:48" ht="17.25" customHeight="1" x14ac:dyDescent="0.25">
      <c r="C108" s="18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20"/>
    </row>
    <row r="109" spans="3:48" ht="17.25" customHeight="1" x14ac:dyDescent="0.25">
      <c r="C109" s="18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20"/>
    </row>
    <row r="110" spans="3:48" ht="37.5" customHeight="1" thickBot="1" x14ac:dyDescent="0.3">
      <c r="C110" s="41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3"/>
    </row>
  </sheetData>
  <mergeCells count="222">
    <mergeCell ref="AP49:AU49"/>
    <mergeCell ref="D51:K51"/>
    <mergeCell ref="D52:K52"/>
    <mergeCell ref="L52:Z52"/>
    <mergeCell ref="AA52:AB52"/>
    <mergeCell ref="AC52:AI52"/>
    <mergeCell ref="AC44:AG44"/>
    <mergeCell ref="AH44:AJ44"/>
    <mergeCell ref="D41:W42"/>
    <mergeCell ref="X41:Y42"/>
    <mergeCell ref="Z41:AB42"/>
    <mergeCell ref="AC41:AG42"/>
    <mergeCell ref="AH41:AJ42"/>
    <mergeCell ref="AK41:AM42"/>
    <mergeCell ref="AN41:AO42"/>
    <mergeCell ref="AP41:AU42"/>
    <mergeCell ref="D43:W43"/>
    <mergeCell ref="X43:Y43"/>
    <mergeCell ref="Z43:AB43"/>
    <mergeCell ref="AC43:AG43"/>
    <mergeCell ref="AH43:AJ43"/>
    <mergeCell ref="AK43:AM43"/>
    <mergeCell ref="AK44:AM44"/>
    <mergeCell ref="D46:H46"/>
    <mergeCell ref="AP37:AU37"/>
    <mergeCell ref="Z40:AB40"/>
    <mergeCell ref="AC40:AG40"/>
    <mergeCell ref="AH40:AI40"/>
    <mergeCell ref="AJ40:AM40"/>
    <mergeCell ref="AN38:AO38"/>
    <mergeCell ref="AP38:AU38"/>
    <mergeCell ref="D39:W39"/>
    <mergeCell ref="X39:Y39"/>
    <mergeCell ref="Z39:AB39"/>
    <mergeCell ref="AC39:AG39"/>
    <mergeCell ref="AH39:AI39"/>
    <mergeCell ref="AJ39:AM39"/>
    <mergeCell ref="AN39:AO39"/>
    <mergeCell ref="AP39:AU39"/>
    <mergeCell ref="D38:W38"/>
    <mergeCell ref="D37:AM37"/>
    <mergeCell ref="AN37:AO37"/>
    <mergeCell ref="AN40:AO40"/>
    <mergeCell ref="AP40:AU40"/>
    <mergeCell ref="D40:W40"/>
    <mergeCell ref="X40:Y40"/>
    <mergeCell ref="X38:Y38"/>
    <mergeCell ref="Z38:AB38"/>
    <mergeCell ref="AN32:AO32"/>
    <mergeCell ref="AP32:AU32"/>
    <mergeCell ref="D33:O33"/>
    <mergeCell ref="P33:Q33"/>
    <mergeCell ref="R33:W33"/>
    <mergeCell ref="X33:Y33"/>
    <mergeCell ref="Z33:AE33"/>
    <mergeCell ref="AN28:AO28"/>
    <mergeCell ref="AP28:AU28"/>
    <mergeCell ref="AN29:AO29"/>
    <mergeCell ref="AP29:AU29"/>
    <mergeCell ref="AN30:AO30"/>
    <mergeCell ref="AP30:AU30"/>
    <mergeCell ref="AH31:AM31"/>
    <mergeCell ref="AN31:AO31"/>
    <mergeCell ref="AP31:AU31"/>
    <mergeCell ref="D30:O30"/>
    <mergeCell ref="P30:Q30"/>
    <mergeCell ref="R30:W30"/>
    <mergeCell ref="X30:Y30"/>
    <mergeCell ref="AP33:AU33"/>
    <mergeCell ref="AF30:AG30"/>
    <mergeCell ref="AH30:AM30"/>
    <mergeCell ref="AF29:AG29"/>
    <mergeCell ref="R22:V22"/>
    <mergeCell ref="W22:Z22"/>
    <mergeCell ref="AA22:AD22"/>
    <mergeCell ref="AE22:AI22"/>
    <mergeCell ref="AJ22:AL22"/>
    <mergeCell ref="AM22:AQ22"/>
    <mergeCell ref="AR22:AS22"/>
    <mergeCell ref="AT22:AU22"/>
    <mergeCell ref="D22:Q22"/>
    <mergeCell ref="M18:T18"/>
    <mergeCell ref="D21:L21"/>
    <mergeCell ref="M21:AD21"/>
    <mergeCell ref="AE21:AQ21"/>
    <mergeCell ref="AR21:AU21"/>
    <mergeCell ref="U18:W18"/>
    <mergeCell ref="X18:Z18"/>
    <mergeCell ref="AA18:AE18"/>
    <mergeCell ref="AF18:AU18"/>
    <mergeCell ref="D15:V15"/>
    <mergeCell ref="W15:AQ15"/>
    <mergeCell ref="AR15:AS15"/>
    <mergeCell ref="AT15:AU15"/>
    <mergeCell ref="D16:V16"/>
    <mergeCell ref="W16:X16"/>
    <mergeCell ref="Y16:Z16"/>
    <mergeCell ref="D20:G20"/>
    <mergeCell ref="H20:Q20"/>
    <mergeCell ref="R20:Z20"/>
    <mergeCell ref="AA20:AF20"/>
    <mergeCell ref="AG20:AN20"/>
    <mergeCell ref="AO20:AU20"/>
    <mergeCell ref="D19:Q19"/>
    <mergeCell ref="R19:AQ19"/>
    <mergeCell ref="AR19:AS19"/>
    <mergeCell ref="AT19:AU19"/>
    <mergeCell ref="AA16:AE16"/>
    <mergeCell ref="AF16:AU16"/>
    <mergeCell ref="D17:V17"/>
    <mergeCell ref="W17:AQ17"/>
    <mergeCell ref="AR17:AS17"/>
    <mergeCell ref="AT17:AU17"/>
    <mergeCell ref="D18:L18"/>
    <mergeCell ref="Z30:AE30"/>
    <mergeCell ref="R29:W29"/>
    <mergeCell ref="D29:O29"/>
    <mergeCell ref="AF27:AG27"/>
    <mergeCell ref="AH27:AM27"/>
    <mergeCell ref="AN27:AO27"/>
    <mergeCell ref="AP27:AU27"/>
    <mergeCell ref="AF28:AG28"/>
    <mergeCell ref="D26:O26"/>
    <mergeCell ref="P26:W26"/>
    <mergeCell ref="X26:AE26"/>
    <mergeCell ref="AF26:AM26"/>
    <mergeCell ref="AH28:AM28"/>
    <mergeCell ref="X27:Y27"/>
    <mergeCell ref="Z27:AE27"/>
    <mergeCell ref="X28:Y28"/>
    <mergeCell ref="Z28:AE28"/>
    <mergeCell ref="D27:O27"/>
    <mergeCell ref="P27:Q27"/>
    <mergeCell ref="AN26:AU26"/>
    <mergeCell ref="D28:O28"/>
    <mergeCell ref="P28:Q28"/>
    <mergeCell ref="R28:W28"/>
    <mergeCell ref="R27:W27"/>
    <mergeCell ref="X44:Y44"/>
    <mergeCell ref="Z44:AB44"/>
    <mergeCell ref="AN35:AO35"/>
    <mergeCell ref="AP35:AU35"/>
    <mergeCell ref="AH29:AM29"/>
    <mergeCell ref="D32:O32"/>
    <mergeCell ref="P32:Q32"/>
    <mergeCell ref="R32:W32"/>
    <mergeCell ref="X32:Y32"/>
    <mergeCell ref="Z32:AE32"/>
    <mergeCell ref="AF32:AG32"/>
    <mergeCell ref="AH32:AM32"/>
    <mergeCell ref="D31:O31"/>
    <mergeCell ref="P31:Q31"/>
    <mergeCell ref="R31:W31"/>
    <mergeCell ref="X31:Y31"/>
    <mergeCell ref="Z31:AE31"/>
    <mergeCell ref="AF31:AG31"/>
    <mergeCell ref="P29:Q29"/>
    <mergeCell ref="X29:Y29"/>
    <mergeCell ref="AH33:AM33"/>
    <mergeCell ref="AN33:AO33"/>
    <mergeCell ref="AF33:AG33"/>
    <mergeCell ref="Z29:AE29"/>
    <mergeCell ref="AP73:AT73"/>
    <mergeCell ref="AP63:AT63"/>
    <mergeCell ref="AC38:AG38"/>
    <mergeCell ref="AH38:AI38"/>
    <mergeCell ref="AJ38:AM38"/>
    <mergeCell ref="AN46:AO46"/>
    <mergeCell ref="AP46:AU46"/>
    <mergeCell ref="D47:P47"/>
    <mergeCell ref="Q47:T47"/>
    <mergeCell ref="U47:AB47"/>
    <mergeCell ref="AC47:AD47"/>
    <mergeCell ref="AE47:AJ47"/>
    <mergeCell ref="AK47:AM47"/>
    <mergeCell ref="AN47:AO47"/>
    <mergeCell ref="AP47:AU47"/>
    <mergeCell ref="AN44:AO44"/>
    <mergeCell ref="AP44:AU44"/>
    <mergeCell ref="AN43:AO43"/>
    <mergeCell ref="AP43:AU43"/>
    <mergeCell ref="D45:H45"/>
    <mergeCell ref="I45:AM45"/>
    <mergeCell ref="AN45:AO45"/>
    <mergeCell ref="AP45:AU45"/>
    <mergeCell ref="D44:W44"/>
    <mergeCell ref="I46:AM46"/>
    <mergeCell ref="D53:K53"/>
    <mergeCell ref="D54:K54"/>
    <mergeCell ref="D55:K55"/>
    <mergeCell ref="L63:R63"/>
    <mergeCell ref="R68:Y68"/>
    <mergeCell ref="T69:Z69"/>
    <mergeCell ref="L55:Z55"/>
    <mergeCell ref="M73:S73"/>
    <mergeCell ref="W63:AA63"/>
    <mergeCell ref="AA55:AB55"/>
    <mergeCell ref="L54:Z54"/>
    <mergeCell ref="AA54:AB54"/>
    <mergeCell ref="AB73:AK73"/>
    <mergeCell ref="AC55:AI55"/>
    <mergeCell ref="L53:Z53"/>
    <mergeCell ref="AA53:AB53"/>
    <mergeCell ref="AC53:AI53"/>
    <mergeCell ref="AJ53:AN53"/>
    <mergeCell ref="AN49:AO49"/>
    <mergeCell ref="AN57:AO57"/>
    <mergeCell ref="T73:X73"/>
    <mergeCell ref="AP57:AU57"/>
    <mergeCell ref="AJ52:AN52"/>
    <mergeCell ref="AO52:AU52"/>
    <mergeCell ref="L51:Z51"/>
    <mergeCell ref="AA51:AB51"/>
    <mergeCell ref="AC51:AI51"/>
    <mergeCell ref="AJ51:AN51"/>
    <mergeCell ref="AO51:AU51"/>
    <mergeCell ref="AJ55:AN55"/>
    <mergeCell ref="AO55:AU55"/>
    <mergeCell ref="AC54:AI54"/>
    <mergeCell ref="AJ54:AN54"/>
    <mergeCell ref="AO54:AU54"/>
    <mergeCell ref="AO53:AU53"/>
  </mergeCells>
  <pageMargins left="0.23622047244094491" right="0.19685039370078741" top="0.78740157480314965" bottom="0.39370078740157483" header="0.43307086614173229" footer="0.31496062992125984"/>
  <pageSetup paperSize="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FISCAL</vt:lpstr>
      <vt:lpstr>INTERNO</vt:lpstr>
      <vt:lpstr>FISCAL!Área_de_impresión</vt:lpstr>
      <vt:lpstr>INTERNO!Área_de_impresión</vt:lpstr>
    </vt:vector>
  </TitlesOfParts>
  <Company>SOALPRO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2011-11-05T12:05:18Z</dcterms:created>
  <dc:creator>miramos1</dc:creator>
  <cp:lastModifiedBy>JGONZALESP</cp:lastModifiedBy>
  <cp:lastPrinted>2026-09-17T18:15:52Z</cp:lastPrinted>
  <dcterms:modified xsi:type="dcterms:W3CDTF">2026-10-15T18:41:19Z</dcterms:modified>
</cp:coreProperties>
</file>